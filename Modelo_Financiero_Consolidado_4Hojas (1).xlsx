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ba Himalaya" sheetId="1" state="visible" r:id="rId3"/>
    <sheet name="2. Santa Bárbara" sheetId="2" state="visible" r:id="rId4"/>
    <sheet name="3. Consolidado" sheetId="3" state="visible" r:id="rId5"/>
    <sheet name="4. Resumen Ejecutiv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<sst xmlns="http://schemas.openxmlformats.org/spreadsheetml/2006/main" count="210" uniqueCount="107">
  <si>
    <t xml:space="preserve">PROYECTO SUBA HIMALAYA  —  PROYECCIÓN DE VENTAS 2027–2031</t>
  </si>
  <si>
    <t xml:space="preserve">Re-distribución del modelo base (24 meses) a 5 años · 92 apt + 110 parq + 18 terrazas · Cifras en COP · TRM ref. $4.200</t>
  </si>
  <si>
    <t xml:space="preserve">1.  SUPUESTOS — DISTRIBUCIÓN DE VENTAS Y TARIFAS IMPOSITIVAS  (editables · texto azul)</t>
  </si>
  <si>
    <t xml:space="preserve">Concepto</t>
  </si>
  <si>
    <t xml:space="preserve">Base 24m (COP)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</si>
  <si>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</si>
  <si>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</si>
  <si>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</si>
  <si>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</si>
  <si>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</si>
  <si>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TOTAL</t>
  </si>
  <si>
    <t xml:space="preserve">Distribución de ventas (% por año)</t>
  </si>
  <si>
    <t xml:space="preserve">—</t>
  </si>
  <si>
    <t xml:space="preserve">Impuesto de Renta (s/ utilidad antes de imp.)</t>
  </si>
  <si>
    <t xml:space="preserve">Retención en la Fuente (s/ ventas)</t>
  </si>
  <si>
    <t xml:space="preserve">ReteICA (s/ ventas)</t>
  </si>
  <si>
    <t xml:space="preserve">ICA (s/ ventas)</t>
  </si>
  <si>
    <t xml:space="preserve">2.  INGRESOS POR VENTAS (COP)</t>
  </si>
  <si>
    <t xml:space="preserve">Venta de apartamentos (92 unidades)</t>
  </si>
  <si>
    <t xml:space="preserve">Parqueaderos con depósito (110 unidades)</t>
  </si>
  <si>
    <t xml:space="preserve">Venta de terrazas (18 unidades)</t>
  </si>
  <si>
    <t xml:space="preserve">TOTAL INGRESOS POR VENTAS</t>
  </si>
  <si>
    <t xml:space="preserve">3.  COSTOS DEL PROYECTO (COP)</t>
  </si>
  <si>
    <t xml:space="preserve">Costo directo de construcción</t>
  </si>
  <si>
    <t xml:space="preserve">Costo indirecto de construcción</t>
  </si>
  <si>
    <t xml:space="preserve">Gastos fiduciarios y administrativos</t>
  </si>
  <si>
    <t xml:space="preserve">Costos financieros (crédito + 4×1000)</t>
  </si>
  <si>
    <t xml:space="preserve">Honorarios, ventas y publicidad</t>
  </si>
  <si>
    <t xml:space="preserve">Adquisición de terreno</t>
  </si>
  <si>
    <t xml:space="preserve">TOTAL COSTOS DEL PROYECTO</t>
  </si>
  <si>
    <t xml:space="preserve">4.  UTILIDAD ANTES DE IMPUESTOS (COP)</t>
  </si>
  <si>
    <t xml:space="preserve">Utilidad antes de impuestos</t>
  </si>
  <si>
    <t xml:space="preserve">5.  CARGA TRIBUTARIA (COP)</t>
  </si>
  <si>
    <t xml:space="preserve">Impuesto de Renta (35% s/ utilidad)</t>
  </si>
  <si>
    <t xml:space="preserve">Retención en la Fuente (1% s/ ventas)</t>
  </si>
  <si>
    <t xml:space="preserve">ReteICA (0,33% s/ ventas)</t>
  </si>
  <si>
    <t xml:space="preserve">ICA (0,33% s/ ventas)</t>
  </si>
  <si>
    <t xml:space="preserve">TOTAL CARGA TRIBUTARIA</t>
  </si>
  <si>
    <t xml:space="preserve">6.  FLUJO DE CAJA NETO / UTILIDAD NETA (COP)</t>
  </si>
  <si>
    <t xml:space="preserve">Utilidad neta anual (flujo de caja neto)</t>
  </si>
  <si>
    <t xml:space="preserve">Flujo de caja neto acumulado</t>
  </si>
  <si>
    <t xml:space="preserve">Margen neto (utilidad neta / ventas)</t>
  </si>
  <si>
    <t xml:space="preserve">ROI anual (utilidad neta / costos)</t>
  </si>
  <si>
    <t xml:space="preserve">Nota: las ventas se distribuyen según la curva editable (fila 6). Costos y carga tributaria se prorratean sobre la misma curva, de modo que los totales anuales reconcilian exactamente con el modelo base de 24 meses.</t>
  </si>
  <si>
    <t xml:space="preserve">PROYECTO SANTA BÁRBARA  —  PROYECCIÓN DE VENTAS 2027–2028</t>
  </si>
  <si>
    <t xml:space="preserve">Calle 118 # 22A, Bogotá · 25 apartamentos + 3 terrazas · Cifras en COP · TRM ref. $4.200</t>
  </si>
  <si>
    <t xml:space="preserve">Venta de apartamentos (25 unidades)</t>
  </si>
  <si>
    <t xml:space="preserve">Venta de terrazas (3 unidades)</t>
  </si>
  <si>
    <t xml:space="preserve">Parqueaderos / depósitos (37 unidades)</t>
  </si>
  <si>
    <t xml:space="preserve">CAPEX – Adquisición de terreno</t>
  </si>
  <si>
    <t xml:space="preserve">CAPEX – Construcción directa (obra gris + acabados)</t>
  </si>
  <si>
    <t xml:space="preserve">OPEX – Costos indirectos de construcción</t>
  </si>
  <si>
    <t xml:space="preserve">OPEX – Gastos fiduciarios y administrativos</t>
  </si>
  <si>
    <t xml:space="preserve">OPEX – Costos financieros + 4×1000 GMF</t>
  </si>
  <si>
    <t xml:space="preserve">OPEX – Honorarios, ventas y publicidad</t>
  </si>
  <si>
    <t xml:space="preserve">Nota: proyecto de ciclo corto (24 meses) re-distribuido a 2 años. El GMF 4×1000 está incluido en los costos financieros del proyecto. Totales reconcilian con el modelo base.</t>
  </si>
  <si>
    <t xml:space="preserve">CONSOLIDADO Y UTILIDADES NETAS</t>
  </si>
  <si>
    <t xml:space="preserve">Suba Himalaya + Santa Bárbara · Utilidad bruta, carga tributaria y utilidad neta · Cifras en COP · Junio 2026</t>
  </si>
  <si>
    <t xml:space="preserve">1.  UTILIDAD NETA CONSOLIDADA (COP)</t>
  </si>
  <si>
    <t xml:space="preserve">Suba Himalaya</t>
  </si>
  <si>
    <t xml:space="preserve">Santa Bárbara</t>
  </si>
  <si>
    <t xml:space="preserve">CONSOLIDADO</t>
  </si>
  <si>
    <t xml:space="preserve">Nota</t>
  </si>
  <si>
    <t xml:space="preserve">Ingresos por ventas</t>
  </si>
  <si>
    <t xml:space="preserve">Suba: 92 apt+110 parq+18 terr · SB: 25 apt+3 terr</t>
  </si>
  <si>
    <t xml:space="preserve">(–) Total costos del proyecto</t>
  </si>
  <si>
    <t xml:space="preserve">CAPEX + OPEX integrados</t>
  </si>
  <si>
    <t xml:space="preserve">UTILIDAD BRUTA ANTES DE IMPUESTOS</t>
  </si>
  <si>
    <t xml:space="preserve">Ingresos − costos</t>
  </si>
  <si>
    <t xml:space="preserve">(–) Carga tributaria del proyecto</t>
  </si>
  <si>
    <t xml:space="preserve">Renta + Rte.Fte + ReteICA + ICA de cada proyecto</t>
  </si>
  <si>
    <t xml:space="preserve">UTILIDAD NETA DEL PROYECTO</t>
  </si>
  <si>
    <t xml:space="preserve">Utilidad neta final por proyecto y consolidada</t>
  </si>
  <si>
    <t xml:space="preserve">Margen neto / ventas</t>
  </si>
  <si>
    <t xml:space="preserve">Utilidad neta / ingresos</t>
  </si>
  <si>
    <t xml:space="preserve">ROI (utilidad neta / costos)</t>
  </si>
  <si>
    <t xml:space="preserve">Retorno sobre la inversión total</t>
  </si>
  <si>
    <t xml:space="preserve">2.  DESGLOSE DE LA CARGA IMPOSITIVA CONSOLIDADA  (Renta · ICA · ReteICA · GMF 4×1000)</t>
  </si>
  <si>
    <t xml:space="preserve">Tarifa GMF 4×1000 (4‰ s/ movimientos · editable)</t>
  </si>
  <si>
    <t xml:space="preserve">Aplicado sobre desembolsos + recaudos del fideicomiso</t>
  </si>
  <si>
    <t xml:space="preserve">Base / observación</t>
  </si>
  <si>
    <t xml:space="preserve">Art. 240 ET · 35% 2026</t>
  </si>
  <si>
    <t xml:space="preserve">Art. 401 ET · anticipo descontable</t>
  </si>
  <si>
    <t xml:space="preserve">Acuerdo 65/2002 Bogotá · anticipo</t>
  </si>
  <si>
    <t xml:space="preserve">Ley 14/1983 · actividad 4010</t>
  </si>
  <si>
    <t xml:space="preserve">GMF 4×1000 (s/ movimientos financieros)</t>
  </si>
  <si>
    <t xml:space="preserve">Art. 872 ET · 0,4% s/ recaudos + desembolsos</t>
  </si>
  <si>
    <t xml:space="preserve">TOTAL CARGA IMPOSITIVA (vista caja tributaria)</t>
  </si>
  <si>
    <t xml:space="preserve">Incluye anticipos (Rte.Fte/ReteICA) y GMF</t>
  </si>
  <si>
    <t xml:space="preserve">Nota CFO: la Utilidad Neta de la sección 1 se obtiene restando a la utilidad bruta la carga tributaria propia de cada proyecto (Renta + Rte.Fte + ReteICA + ICA). La sección 2 es una vista de caja tributaria ampliada que añade el GMF 4×1000 sobre los movimientos del fideicomiso; las retenciones y el ReteICA son anticipos descontables del impuesto de renta, no costo definitivo adicional.</t>
  </si>
  <si>
    <t xml:space="preserve">MODELO FINANCIERO CONSOLIDADO — RESUMEN EJECUTIVO</t>
  </si>
  <si>
    <t xml:space="preserve">Proyecto Suba Himalaya + Proyecto Santa Bárbara · Cifras en COP · TRM ref. $4.200 · Junio 2026</t>
  </si>
  <si>
    <t xml:space="preserve">1.  DESCRIPCIÓN DE LOS PROYECTOS</t>
  </si>
  <si>
    <t xml:space="preserve">SUBA HIMALAYA: desarrollo residencial en Bogotá de 92 apartamentos, 110 parqueaderos con depósito y 18 terrazas, con un área vendible de 21.919 m². Modelo re-proyectado a 5 años (2027–2031) bajo norma NIF Colombia (NIC 11 / NIIF 15).</t>
  </si>
  <si>
    <t xml:space="preserve">SANTA BÁRBARA: proyecto de ciclo corto en la Calle 118 # 22A (Bogotá), 25 apartamentos y 3 terrazas dúplex, área construida de 3.739 m². Modelo re-proyectado a 2 años (2027–2028) con estructura CAPEX/OPEX y crédito constructor.</t>
  </si>
  <si>
    <t xml:space="preserve">2.  RESUMEN DE INGRESOS Y RESULTADOS (COP)</t>
  </si>
  <si>
    <t xml:space="preserve">Consolidado</t>
  </si>
  <si>
    <t xml:space="preserve">Ingresos totales proyectados</t>
  </si>
  <si>
    <t xml:space="preserve">Total costos del proyecto</t>
  </si>
  <si>
    <t xml:space="preserve">Utilidad bruta antes de impuestos</t>
  </si>
  <si>
    <t xml:space="preserve">Carga tributaria total</t>
  </si>
  <si>
    <t xml:space="preserve">UTILIDAD NETA</t>
  </si>
  <si>
    <t xml:space="preserve">3.  IMPACTO DE LA CARGA IMPOSITIVA SOBRE LA RENTABILIDAD</t>
  </si>
  <si>
    <t xml:space="preserve">La carga tributaria consolidada (Renta 35%, Retención en la Fuente 1%, ReteICA e ICA 0,33%) asciende a ~COP 41.864 millones, equivalente al 16,3% de los ingresos totales y al 39% de la utilidad bruta. El Impuesto de Renta concentra el grueso de la carga (~COP 37.612 millones). Suba Himalaya soporta prácticamente toda la tributación por su mayor escala y margen, mientras Santa Bárbara —con un margen neto del 7,5%— es mucho más sensible a la carga impositiva y a los costos financieros del crédito constructor. El GMF 4×1000 sobre los movimientos del fideicomiso (~COP 1.619 millones) representa un costo de caja adicional, parcialmente deducible (50%, Art. 115 ET).</t>
  </si>
  <si>
    <t xml:space="preserve">4.  CONCLUSIONES SOBRE LA VIABILIDAD FINANCIERA</t>
  </si>
  <si>
    <t xml:space="preserve">El portafolio consolidado es financieramente viable: genera ingresos proyectados por ~COP 256.142 millones y una utilidad neta consolidada de ~COP 65.599 millones, con un margen neto del 25,6% y un ROI cercano al 44%. Suba Himalaya es el motor de rentabilidad (margen neto 28,0%, ROI 51,6%) y justifica por sí solo la inversión. Santa Bárbara, aunque con un margen ajustado (7,5%) y mayor exposición a costos financieros, aporta diversificación y liquidez de ciclo corto (2 años) que ayuda a financiar el remanente del fondo. Recomendación: priorizar preventas tempranas en Suba para activar el fideicomiso, vigilar la sensibilidad de Santa Bárbara al costo del crédito (TEA 15,6%) y optimizar la deducibilidad del GMF. El fondo fiduciario de COP 105.000 millones cubre ~71% del costo integrado; el saldo se financia con el recaudo de preventas.</t>
  </si>
  <si>
    <t xml:space="preserve">Documento de prefactibilidad · Cifras sujetas a actualización por avance de obra y depuración fiscal · Elaborado con base en el modelo financiero consolidado adjunto.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</si>
</sst>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%"/>
    <numFmt numFmtId="167" formatCode="#,##0;\(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entury Gothic"/>
      <family val="0"/>
      <charset val="1"/>
    </font>
    <font>
      <sz val="9"/>
      <color rgb="FFFFFFFF"/>
      <name val="Century Gothic"/>
      <family val="0"/>
      <charset val="1"/>
    </font>
    <font>
      <b val="true"/>
      <sz val="11"/>
      <color rgb="FFFFFFFF"/>
      <name val="Century Gothic"/>
      <family val="0"/>
      <charset val="1"/>
    </font>
    <font>
      <b val="true"/>
      <sz val="9"/>
      <color rgb="FFFFFFFF"/>
      <name val="Century Gothic"/>
      <family val="0"/>
      <charset val="1"/>
    </font>
    <font>
      <b val="true"/>
      <sz val="10"/>
      <color rgb="FF000000"/>
      <name val="Century Gothic"/>
      <family val="0"/>
      <charset val="1"/>
    </font>
    <font>
      <sz val="10"/>
      <color rgb="FF000000"/>
      <name val="Century Gothic"/>
      <family val="0"/>
      <charset val="1"/>
    </font>
    <font>
      <sz val="10"/>
      <color rgb="FF0000FF"/>
      <name val="Century Gothic"/>
      <family val="0"/>
      <charset val="1"/>
    </font>
    <font>
      <i val="true"/>
      <sz val="8"/>
      <color rgb="FF595959"/>
      <name val="Century Gothic"/>
      <family val="0"/>
      <charset val="1"/>
    </font>
    <font>
      <b val="true"/>
      <sz val="10"/>
      <color rgb="FF008000"/>
      <name val="Century Gothic"/>
      <family val="0"/>
      <charset val="1"/>
    </font>
    <font>
      <sz val="8"/>
      <color rgb="FF595959"/>
      <name val="Century Gothic"/>
      <family val="0"/>
      <charset val="1"/>
    </font>
    <font>
      <sz val="10"/>
      <color rgb="FF008000"/>
      <name val="Century Gothic"/>
      <family val="0"/>
      <charset val="1"/>
    </font>
    <font>
      <sz val="9"/>
      <color rgb="FF000000"/>
      <name val="Century Gothi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7" min="3" style="0" width="17"/>
    <col collapsed="false" customWidth="true" hidden="false" outlineLevel="0" max="8" min="8" style="0" width="19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 t="s">
        <v>12</v>
      </c>
      <c r="C6" s="7" t="n">
        <v>0.15</v>
      </c>
      <c r="D6" s="7" t="n">
        <v>0.25</v>
      </c>
      <c r="E6" s="7" t="n">
        <v>0.3</v>
      </c>
      <c r="F6" s="7" t="n">
        <v>0.2</v>
      </c>
      <c r="G6" s="7" t="n">
        <v>0.1</v>
      </c>
      <c r="H6" s="8" t="n">
        <f aca="false">SUM(C6:G6)</f>
        <v>1</v>
      </c>
    </row>
    <row r="7" customFormat="false" ht="15" hidden="false" customHeight="false" outlineLevel="0" collapsed="false">
      <c r="A7" s="9" t="s">
        <v>13</v>
      </c>
      <c r="B7" s="10" t="n">
        <v>0.35</v>
      </c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11" t="s">
        <v>14</v>
      </c>
      <c r="B8" s="7" t="n">
        <v>0.01</v>
      </c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9" t="s">
        <v>15</v>
      </c>
      <c r="B9" s="12" t="n">
        <v>0.0033</v>
      </c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11" t="s">
        <v>16</v>
      </c>
      <c r="B10" s="13" t="n">
        <v>0.0033</v>
      </c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3" t="s">
        <v>17</v>
      </c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</row>
    <row r="13" customFormat="false" ht="15" hidden="false" customHeight="false" outlineLevel="0" collapsed="false">
      <c r="A13" s="9" t="s">
        <v>18</v>
      </c>
      <c r="B13" s="14" t="n">
        <v>219196440000</v>
      </c>
      <c r="C13" s="15" t="n">
        <f aca="false">$B13*C$6</f>
        <v>32879466000</v>
      </c>
      <c r="D13" s="15" t="n">
        <f aca="false">$B13*D$6</f>
        <v>54799110000</v>
      </c>
      <c r="E13" s="15" t="n">
        <f aca="false">$B13*E$6</f>
        <v>65758932000</v>
      </c>
      <c r="F13" s="15" t="n">
        <f aca="false">$B13*F$6</f>
        <v>43839288000</v>
      </c>
      <c r="G13" s="15" t="n">
        <f aca="false">$B13*G$6</f>
        <v>21919644000</v>
      </c>
      <c r="H13" s="15" t="n">
        <f aca="false">SUM(C13:G13)</f>
        <v>219196440000</v>
      </c>
    </row>
    <row r="14" customFormat="false" ht="15" hidden="false" customHeight="false" outlineLevel="0" collapsed="false">
      <c r="A14" s="11" t="s">
        <v>19</v>
      </c>
      <c r="B14" s="16" t="n">
        <v>6600000000</v>
      </c>
      <c r="C14" s="17" t="n">
        <f aca="false">$B14*C$6</f>
        <v>990000000</v>
      </c>
      <c r="D14" s="17" t="n">
        <f aca="false">$B14*D$6</f>
        <v>1650000000</v>
      </c>
      <c r="E14" s="17" t="n">
        <f aca="false">$B14*E$6</f>
        <v>1980000000</v>
      </c>
      <c r="F14" s="17" t="n">
        <f aca="false">$B14*F$6</f>
        <v>1320000000</v>
      </c>
      <c r="G14" s="17" t="n">
        <f aca="false">$B14*G$6</f>
        <v>660000000</v>
      </c>
      <c r="H14" s="17" t="n">
        <f aca="false">SUM(C14:G14)</f>
        <v>6600000000</v>
      </c>
    </row>
    <row r="15" customFormat="false" ht="15" hidden="false" customHeight="false" outlineLevel="0" collapsed="false">
      <c r="A15" s="9" t="s">
        <v>20</v>
      </c>
      <c r="B15" s="14" t="n">
        <v>72000000</v>
      </c>
      <c r="C15" s="15" t="n">
        <f aca="false">$B15*C$6</f>
        <v>10800000</v>
      </c>
      <c r="D15" s="15" t="n">
        <f aca="false">$B15*D$6</f>
        <v>18000000</v>
      </c>
      <c r="E15" s="15" t="n">
        <f aca="false">$B15*E$6</f>
        <v>21600000</v>
      </c>
      <c r="F15" s="15" t="n">
        <f aca="false">$B15*F$6</f>
        <v>14400000</v>
      </c>
      <c r="G15" s="15" t="n">
        <f aca="false">$B15*G$6</f>
        <v>7200000</v>
      </c>
      <c r="H15" s="15" t="n">
        <f aca="false">SUM(C15:G15)</f>
        <v>72000000</v>
      </c>
    </row>
    <row r="16" customFormat="false" ht="15" hidden="false" customHeight="false" outlineLevel="0" collapsed="false">
      <c r="A16" s="18" t="s">
        <v>21</v>
      </c>
      <c r="B16" s="19" t="n">
        <f aca="false">SUM(B13:B15)</f>
        <v>225868440000</v>
      </c>
      <c r="C16" s="19" t="n">
        <f aca="false">SUM(C13:C15)</f>
        <v>33880266000</v>
      </c>
      <c r="D16" s="19" t="n">
        <f aca="false">SUM(D13:D15)</f>
        <v>56467110000</v>
      </c>
      <c r="E16" s="19" t="n">
        <f aca="false">SUM(E13:E15)</f>
        <v>67760532000</v>
      </c>
      <c r="F16" s="19" t="n">
        <f aca="false">SUM(F13:F15)</f>
        <v>45173688000</v>
      </c>
      <c r="G16" s="19" t="n">
        <f aca="false">SUM(G13:G15)</f>
        <v>22586844000</v>
      </c>
      <c r="H16" s="19" t="n">
        <f aca="false">SUM(H13:H15)</f>
        <v>225868440000</v>
      </c>
    </row>
    <row r="18" customFormat="false" ht="15" hidden="false" customHeight="false" outlineLevel="0" collapsed="false">
      <c r="A18" s="3" t="s">
        <v>22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10</v>
      </c>
    </row>
    <row r="20" customFormat="false" ht="15" hidden="false" customHeight="false" outlineLevel="0" collapsed="false">
      <c r="A20" s="9" t="s">
        <v>23</v>
      </c>
      <c r="B20" s="14" t="n">
        <v>33899502570</v>
      </c>
      <c r="C20" s="15" t="n">
        <f aca="false">$B20*C$6</f>
        <v>5084925385.5</v>
      </c>
      <c r="D20" s="15" t="n">
        <f aca="false">$B20*D$6</f>
        <v>8474875642.5</v>
      </c>
      <c r="E20" s="15" t="n">
        <f aca="false">$B20*E$6</f>
        <v>10169850771</v>
      </c>
      <c r="F20" s="15" t="n">
        <f aca="false">$B20*F$6</f>
        <v>6779900514</v>
      </c>
      <c r="G20" s="15" t="n">
        <f aca="false">$B20*G$6</f>
        <v>3389950257</v>
      </c>
      <c r="H20" s="15" t="n">
        <f aca="false">SUM(C20:G20)</f>
        <v>33899502570</v>
      </c>
    </row>
    <row r="21" customFormat="false" ht="15" hidden="false" customHeight="false" outlineLevel="0" collapsed="false">
      <c r="A21" s="11" t="s">
        <v>24</v>
      </c>
      <c r="B21" s="16" t="n">
        <v>5510273722</v>
      </c>
      <c r="C21" s="17" t="n">
        <f aca="false">$B21*C$6</f>
        <v>826541058.3</v>
      </c>
      <c r="D21" s="17" t="n">
        <f aca="false">$B21*D$6</f>
        <v>1377568430.5</v>
      </c>
      <c r="E21" s="17" t="n">
        <f aca="false">$B21*E$6</f>
        <v>1653082116.6</v>
      </c>
      <c r="F21" s="17" t="n">
        <f aca="false">$B21*F$6</f>
        <v>1102054744.4</v>
      </c>
      <c r="G21" s="17" t="n">
        <f aca="false">$B21*G$6</f>
        <v>551027372.2</v>
      </c>
      <c r="H21" s="17" t="n">
        <f aca="false">SUM(C21:G21)</f>
        <v>5510273722</v>
      </c>
    </row>
    <row r="22" customFormat="false" ht="15" hidden="false" customHeight="false" outlineLevel="0" collapsed="false">
      <c r="A22" s="9" t="s">
        <v>25</v>
      </c>
      <c r="B22" s="14" t="n">
        <v>4227764057</v>
      </c>
      <c r="C22" s="15" t="n">
        <f aca="false">$B22*C$6</f>
        <v>634164608.55</v>
      </c>
      <c r="D22" s="15" t="n">
        <f aca="false">$B22*D$6</f>
        <v>1056941014.25</v>
      </c>
      <c r="E22" s="15" t="n">
        <f aca="false">$B22*E$6</f>
        <v>1268329217.1</v>
      </c>
      <c r="F22" s="15" t="n">
        <f aca="false">$B22*F$6</f>
        <v>845552811.4</v>
      </c>
      <c r="G22" s="15" t="n">
        <f aca="false">$B22*G$6</f>
        <v>422776405.7</v>
      </c>
      <c r="H22" s="15" t="n">
        <f aca="false">SUM(C22:G22)</f>
        <v>4227764057</v>
      </c>
    </row>
    <row r="23" customFormat="false" ht="15" hidden="false" customHeight="false" outlineLevel="0" collapsed="false">
      <c r="A23" s="11" t="s">
        <v>26</v>
      </c>
      <c r="B23" s="16" t="n">
        <v>0</v>
      </c>
      <c r="C23" s="17" t="n">
        <f aca="false">$B23*C$6</f>
        <v>0</v>
      </c>
      <c r="D23" s="17" t="n">
        <f aca="false">$B23*D$6</f>
        <v>0</v>
      </c>
      <c r="E23" s="17" t="n">
        <f aca="false">$B23*E$6</f>
        <v>0</v>
      </c>
      <c r="F23" s="17" t="n">
        <f aca="false">$B23*F$6</f>
        <v>0</v>
      </c>
      <c r="G23" s="17" t="n">
        <f aca="false">$B23*G$6</f>
        <v>0</v>
      </c>
      <c r="H23" s="17" t="n">
        <f aca="false">SUM(C23:G23)</f>
        <v>0</v>
      </c>
    </row>
    <row r="24" customFormat="false" ht="15" hidden="false" customHeight="false" outlineLevel="0" collapsed="false">
      <c r="A24" s="9" t="s">
        <v>27</v>
      </c>
      <c r="B24" s="14" t="n">
        <v>22586844000</v>
      </c>
      <c r="C24" s="15" t="n">
        <f aca="false">$B24*C$6</f>
        <v>3388026600</v>
      </c>
      <c r="D24" s="15" t="n">
        <f aca="false">$B24*D$6</f>
        <v>5646711000</v>
      </c>
      <c r="E24" s="15" t="n">
        <f aca="false">$B24*E$6</f>
        <v>6776053200</v>
      </c>
      <c r="F24" s="15" t="n">
        <f aca="false">$B24*F$6</f>
        <v>4517368800</v>
      </c>
      <c r="G24" s="15" t="n">
        <f aca="false">$B24*G$6</f>
        <v>2258684400</v>
      </c>
      <c r="H24" s="15" t="n">
        <f aca="false">SUM(C24:G24)</f>
        <v>22586844000</v>
      </c>
    </row>
    <row r="25" customFormat="false" ht="15" hidden="false" customHeight="false" outlineLevel="0" collapsed="false">
      <c r="A25" s="11" t="s">
        <v>28</v>
      </c>
      <c r="B25" s="16" t="n">
        <v>56467110000</v>
      </c>
      <c r="C25" s="17" t="n">
        <f aca="false">$B25*C$6</f>
        <v>8470066500</v>
      </c>
      <c r="D25" s="17" t="n">
        <f aca="false">$B25*D$6</f>
        <v>14116777500</v>
      </c>
      <c r="E25" s="17" t="n">
        <f aca="false">$B25*E$6</f>
        <v>16940133000</v>
      </c>
      <c r="F25" s="17" t="n">
        <f aca="false">$B25*F$6</f>
        <v>11293422000</v>
      </c>
      <c r="G25" s="17" t="n">
        <f aca="false">$B25*G$6</f>
        <v>5646711000</v>
      </c>
      <c r="H25" s="17" t="n">
        <f aca="false">SUM(C25:G25)</f>
        <v>56467110000</v>
      </c>
    </row>
    <row r="26" customFormat="false" ht="15" hidden="false" customHeight="false" outlineLevel="0" collapsed="false">
      <c r="A26" s="18" t="s">
        <v>29</v>
      </c>
      <c r="B26" s="19" t="n">
        <f aca="false">SUM(B20:B25)</f>
        <v>122691494349</v>
      </c>
      <c r="C26" s="19" t="n">
        <f aca="false">SUM(C20:C25)</f>
        <v>18403724152.35</v>
      </c>
      <c r="D26" s="19" t="n">
        <f aca="false">SUM(D20:D25)</f>
        <v>30672873587.25</v>
      </c>
      <c r="E26" s="19" t="n">
        <f aca="false">SUM(E20:E25)</f>
        <v>36807448304.7</v>
      </c>
      <c r="F26" s="19" t="n">
        <f aca="false">SUM(F20:F25)</f>
        <v>24538298869.8</v>
      </c>
      <c r="G26" s="19" t="n">
        <f aca="false">SUM(G20:G25)</f>
        <v>12269149434.9</v>
      </c>
      <c r="H26" s="19" t="n">
        <f aca="false">SUM(H20:H25)</f>
        <v>122691494349</v>
      </c>
    </row>
    <row r="28" customFormat="false" ht="15" hidden="false" customHeight="false" outlineLevel="0" collapsed="false">
      <c r="A28" s="3" t="s">
        <v>30</v>
      </c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20" t="s">
        <v>31</v>
      </c>
      <c r="B29" s="21" t="n">
        <f aca="false">B16-B26</f>
        <v>103176945651</v>
      </c>
      <c r="C29" s="21" t="n">
        <f aca="false">C16-C26</f>
        <v>15476541847.65</v>
      </c>
      <c r="D29" s="21" t="n">
        <f aca="false">D16-D26</f>
        <v>25794236412.75</v>
      </c>
      <c r="E29" s="21" t="n">
        <f aca="false">E16-E26</f>
        <v>30953083695.3</v>
      </c>
      <c r="F29" s="21" t="n">
        <f aca="false">F16-F26</f>
        <v>20635389130.2</v>
      </c>
      <c r="G29" s="21" t="n">
        <f aca="false">G16-G26</f>
        <v>10317694565.1</v>
      </c>
      <c r="H29" s="21" t="n">
        <f aca="false">SUM(C29:G29)</f>
        <v>103176945651</v>
      </c>
    </row>
    <row r="31" customFormat="false" ht="15" hidden="false" customHeight="false" outlineLevel="0" collapsed="false">
      <c r="A31" s="3" t="s">
        <v>32</v>
      </c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4" t="s">
        <v>3</v>
      </c>
      <c r="B32" s="4" t="s">
        <v>4</v>
      </c>
      <c r="C32" s="4" t="s">
        <v>5</v>
      </c>
      <c r="D32" s="4" t="s">
        <v>6</v>
      </c>
      <c r="E32" s="4" t="s">
        <v>7</v>
      </c>
      <c r="F32" s="4" t="s">
        <v>8</v>
      </c>
      <c r="G32" s="4" t="s">
        <v>9</v>
      </c>
      <c r="H32" s="4" t="s">
        <v>10</v>
      </c>
    </row>
    <row r="33" customFormat="false" ht="15" hidden="false" customHeight="false" outlineLevel="0" collapsed="false">
      <c r="A33" s="9" t="s">
        <v>33</v>
      </c>
      <c r="B33" s="15" t="n">
        <f aca="false">$B$7*B29</f>
        <v>36111930977.85</v>
      </c>
      <c r="C33" s="15" t="n">
        <f aca="false">$B$7*C29</f>
        <v>5416789646.6775</v>
      </c>
      <c r="D33" s="15" t="n">
        <f aca="false">$B$7*D29</f>
        <v>9027982744.4625</v>
      </c>
      <c r="E33" s="15" t="n">
        <f aca="false">$B$7*E29</f>
        <v>10833579293.355</v>
      </c>
      <c r="F33" s="15" t="n">
        <f aca="false">$B$7*F29</f>
        <v>7222386195.57</v>
      </c>
      <c r="G33" s="15" t="n">
        <f aca="false">$B$7*G29</f>
        <v>3611193097.785</v>
      </c>
      <c r="H33" s="15" t="n">
        <f aca="false">SUM(C33:G33)</f>
        <v>36111930977.85</v>
      </c>
    </row>
    <row r="34" customFormat="false" ht="15" hidden="false" customHeight="false" outlineLevel="0" collapsed="false">
      <c r="A34" s="11" t="s">
        <v>34</v>
      </c>
      <c r="B34" s="17" t="n">
        <f aca="false">$B$8*B16</f>
        <v>2258684400</v>
      </c>
      <c r="C34" s="17" t="n">
        <f aca="false">$B$8*C16</f>
        <v>338802660</v>
      </c>
      <c r="D34" s="17" t="n">
        <f aca="false">$B$8*D16</f>
        <v>564671100</v>
      </c>
      <c r="E34" s="17" t="n">
        <f aca="false">$B$8*E16</f>
        <v>677605320</v>
      </c>
      <c r="F34" s="17" t="n">
        <f aca="false">$B$8*F16</f>
        <v>451736880</v>
      </c>
      <c r="G34" s="17" t="n">
        <f aca="false">$B$8*G16</f>
        <v>225868440</v>
      </c>
      <c r="H34" s="17" t="n">
        <f aca="false">SUM(C34:G34)</f>
        <v>2258684400</v>
      </c>
    </row>
    <row r="35" customFormat="false" ht="15" hidden="false" customHeight="false" outlineLevel="0" collapsed="false">
      <c r="A35" s="9" t="s">
        <v>35</v>
      </c>
      <c r="B35" s="15" t="n">
        <f aca="false">$B$9*B16</f>
        <v>745365852</v>
      </c>
      <c r="C35" s="15" t="n">
        <f aca="false">$B$9*C16</f>
        <v>111804877.8</v>
      </c>
      <c r="D35" s="15" t="n">
        <f aca="false">$B$9*D16</f>
        <v>186341463</v>
      </c>
      <c r="E35" s="15" t="n">
        <f aca="false">$B$9*E16</f>
        <v>223609755.6</v>
      </c>
      <c r="F35" s="15" t="n">
        <f aca="false">$B$9*F16</f>
        <v>149073170.4</v>
      </c>
      <c r="G35" s="15" t="n">
        <f aca="false">$B$9*G16</f>
        <v>74536585.2</v>
      </c>
      <c r="H35" s="15" t="n">
        <f aca="false">SUM(C35:G35)</f>
        <v>745365852</v>
      </c>
    </row>
    <row r="36" customFormat="false" ht="15" hidden="false" customHeight="false" outlineLevel="0" collapsed="false">
      <c r="A36" s="11" t="s">
        <v>36</v>
      </c>
      <c r="B36" s="17" t="n">
        <f aca="false">$B$10*B16</f>
        <v>745365852</v>
      </c>
      <c r="C36" s="17" t="n">
        <f aca="false">$B$10*C16</f>
        <v>111804877.8</v>
      </c>
      <c r="D36" s="17" t="n">
        <f aca="false">$B$10*D16</f>
        <v>186341463</v>
      </c>
      <c r="E36" s="17" t="n">
        <f aca="false">$B$10*E16</f>
        <v>223609755.6</v>
      </c>
      <c r="F36" s="17" t="n">
        <f aca="false">$B$10*F16</f>
        <v>149073170.4</v>
      </c>
      <c r="G36" s="17" t="n">
        <f aca="false">$B$10*G16</f>
        <v>74536585.2</v>
      </c>
      <c r="H36" s="17" t="n">
        <f aca="false">SUM(C36:G36)</f>
        <v>745365852</v>
      </c>
    </row>
    <row r="37" customFormat="false" ht="15" hidden="false" customHeight="false" outlineLevel="0" collapsed="false">
      <c r="A37" s="18" t="s">
        <v>37</v>
      </c>
      <c r="B37" s="19" t="n">
        <f aca="false">SUM(B33:B36)</f>
        <v>39861347081.85</v>
      </c>
      <c r="C37" s="19" t="n">
        <f aca="false">SUM(C33:C36)</f>
        <v>5979202062.2775</v>
      </c>
      <c r="D37" s="19" t="n">
        <f aca="false">SUM(D33:D36)</f>
        <v>9965336770.4625</v>
      </c>
      <c r="E37" s="19" t="n">
        <f aca="false">SUM(E33:E36)</f>
        <v>11958404124.555</v>
      </c>
      <c r="F37" s="19" t="n">
        <f aca="false">SUM(F33:F36)</f>
        <v>7972269416.37</v>
      </c>
      <c r="G37" s="19" t="n">
        <f aca="false">SUM(G33:G36)</f>
        <v>3986134708.185</v>
      </c>
      <c r="H37" s="19" t="n">
        <f aca="false">SUM(H33:H36)</f>
        <v>39861347081.85</v>
      </c>
    </row>
    <row r="39" customFormat="false" ht="15" hidden="false" customHeight="false" outlineLevel="0" collapsed="false">
      <c r="A39" s="3" t="s">
        <v>38</v>
      </c>
      <c r="B39" s="3"/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4" t="s">
        <v>3</v>
      </c>
      <c r="B40" s="4" t="s">
        <v>4</v>
      </c>
      <c r="C40" s="4" t="s">
        <v>5</v>
      </c>
      <c r="D40" s="4" t="s">
        <v>6</v>
      </c>
      <c r="E40" s="4" t="s">
        <v>7</v>
      </c>
      <c r="F40" s="4" t="s">
        <v>8</v>
      </c>
      <c r="G40" s="4" t="s">
        <v>9</v>
      </c>
      <c r="H40" s="4" t="s">
        <v>10</v>
      </c>
    </row>
    <row r="41" customFormat="false" ht="15" hidden="false" customHeight="false" outlineLevel="0" collapsed="false">
      <c r="A41" s="22" t="s">
        <v>39</v>
      </c>
      <c r="B41" s="23" t="n">
        <f aca="false">B29-B37</f>
        <v>63315598569.15</v>
      </c>
      <c r="C41" s="23" t="n">
        <f aca="false">C29-C37</f>
        <v>9497339785.3725</v>
      </c>
      <c r="D41" s="23" t="n">
        <f aca="false">D29-D37</f>
        <v>15828899642.2875</v>
      </c>
      <c r="E41" s="23" t="n">
        <f aca="false">E29-E37</f>
        <v>18994679570.745</v>
      </c>
      <c r="F41" s="23" t="n">
        <f aca="false">F29-F37</f>
        <v>12663119713.83</v>
      </c>
      <c r="G41" s="23" t="n">
        <f aca="false">G29-G37</f>
        <v>6331559856.915</v>
      </c>
      <c r="H41" s="23" t="n">
        <f aca="false">SUM(C41:G41)</f>
        <v>63315598569.15</v>
      </c>
    </row>
    <row r="42" customFormat="false" ht="15" hidden="false" customHeight="false" outlineLevel="0" collapsed="false">
      <c r="A42" s="11" t="s">
        <v>40</v>
      </c>
      <c r="B42" s="6" t="s">
        <v>12</v>
      </c>
      <c r="C42" s="17" t="n">
        <f aca="false">C41</f>
        <v>9497339785.3725</v>
      </c>
      <c r="D42" s="17" t="n">
        <f aca="false">C42+D41</f>
        <v>25326239427.66</v>
      </c>
      <c r="E42" s="17" t="n">
        <f aca="false">D42+E41</f>
        <v>44320918998.405</v>
      </c>
      <c r="F42" s="17" t="n">
        <f aca="false">E42+F41</f>
        <v>56984038712.235</v>
      </c>
      <c r="G42" s="17" t="n">
        <f aca="false">F42+G41</f>
        <v>63315598569.15</v>
      </c>
      <c r="H42" s="17" t="n">
        <f aca="false">G42</f>
        <v>63315598569.15</v>
      </c>
    </row>
    <row r="43" customFormat="false" ht="15" hidden="false" customHeight="false" outlineLevel="0" collapsed="false">
      <c r="A43" s="9" t="s">
        <v>41</v>
      </c>
      <c r="B43" s="24" t="s">
        <v>12</v>
      </c>
      <c r="C43" s="25" t="n">
        <f aca="false">IFERROR(C41/C16,0)</f>
        <v>0.280320697168449</v>
      </c>
      <c r="D43" s="25" t="n">
        <f aca="false">IFERROR(D41/D16,0)</f>
        <v>0.280320697168449</v>
      </c>
      <c r="E43" s="25" t="n">
        <f aca="false">IFERROR(E41/E16,0)</f>
        <v>0.280320697168449</v>
      </c>
      <c r="F43" s="25" t="n">
        <f aca="false">IFERROR(F41/F16,0)</f>
        <v>0.280320697168449</v>
      </c>
      <c r="G43" s="25" t="n">
        <f aca="false">IFERROR(G41/G16,0)</f>
        <v>0.280320697168449</v>
      </c>
      <c r="H43" s="26" t="n">
        <f aca="false">IFERROR(H41/H16,0)</f>
        <v>0.280320697168449</v>
      </c>
    </row>
    <row r="44" customFormat="false" ht="15" hidden="false" customHeight="false" outlineLevel="0" collapsed="false">
      <c r="A44" s="11" t="s">
        <v>42</v>
      </c>
      <c r="B44" s="6" t="s">
        <v>12</v>
      </c>
      <c r="C44" s="27" t="n">
        <f aca="false">IFERROR(C41/C26,0)</f>
        <v>0.516055321561629</v>
      </c>
      <c r="D44" s="27" t="n">
        <f aca="false">IFERROR(D41/D26,0)</f>
        <v>0.516055321561629</v>
      </c>
      <c r="E44" s="27" t="n">
        <f aca="false">IFERROR(E41/E26,0)</f>
        <v>0.516055321561629</v>
      </c>
      <c r="F44" s="27" t="n">
        <f aca="false">IFERROR(F41/F26,0)</f>
        <v>0.516055321561629</v>
      </c>
      <c r="G44" s="27" t="n">
        <f aca="false">IFERROR(G41/G26,0)</f>
        <v>0.516055321561629</v>
      </c>
      <c r="H44" s="8" t="n">
        <f aca="false">IFERROR(H41/H26,0)</f>
        <v>0.516055321561629</v>
      </c>
    </row>
    <row r="46" customFormat="false" ht="15" hidden="false" customHeight="true" outlineLevel="0" collapsed="false">
      <c r="A46" s="28" t="s">
        <v>43</v>
      </c>
      <c r="B46" s="28"/>
      <c r="C46" s="28"/>
      <c r="D46" s="28"/>
      <c r="E46" s="28"/>
      <c r="F46" s="28"/>
      <c r="G46" s="28"/>
      <c r="H46" s="28"/>
    </row>
    <row r="47" customFormat="false" ht="1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</row>
  </sheetData>
  <mergeCells count="9">
    <mergeCell ref="A1:H1"/>
    <mergeCell ref="A2:H2"/>
    <mergeCell ref="A4:H4"/>
    <mergeCell ref="A11:H11"/>
    <mergeCell ref="A18:H18"/>
    <mergeCell ref="A28:H28"/>
    <mergeCell ref="A31:H31"/>
    <mergeCell ref="A39:H39"/>
    <mergeCell ref="A46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  <col collapsed="false" customWidth="true" hidden="false" outlineLevel="0" max="4" min="3" style="0" width="19"/>
    <col collapsed="false" customWidth="true" hidden="false" outlineLevel="0" max="5" min="5" style="0" width="21"/>
  </cols>
  <sheetData>
    <row r="1" customFormat="false" ht="25.5" hidden="false" customHeight="true" outlineLevel="0" collapsed="false">
      <c r="A1" s="1" t="s">
        <v>44</v>
      </c>
      <c r="B1" s="1"/>
      <c r="C1" s="1"/>
      <c r="D1" s="1"/>
      <c r="E1" s="1"/>
    </row>
    <row r="2" customFormat="false" ht="18" hidden="false" customHeight="true" outlineLevel="0" collapsed="false">
      <c r="A2" s="2" t="s">
        <v>45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10</v>
      </c>
    </row>
    <row r="6" customFormat="false" ht="15" hidden="false" customHeight="false" outlineLevel="0" collapsed="false">
      <c r="A6" s="5" t="s">
        <v>11</v>
      </c>
      <c r="B6" s="6" t="s">
        <v>12</v>
      </c>
      <c r="C6" s="7" t="n">
        <v>0.45</v>
      </c>
      <c r="D6" s="7" t="n">
        <v>0.55</v>
      </c>
      <c r="E6" s="8" t="n">
        <f aca="false">SUM(C6:D6)</f>
        <v>1</v>
      </c>
    </row>
    <row r="7" customFormat="false" ht="15" hidden="false" customHeight="false" outlineLevel="0" collapsed="false">
      <c r="A7" s="9" t="s">
        <v>13</v>
      </c>
      <c r="B7" s="10" t="n">
        <v>0.35</v>
      </c>
      <c r="C7" s="9"/>
      <c r="D7" s="9"/>
      <c r="E7" s="9"/>
    </row>
    <row r="8" customFormat="false" ht="15" hidden="false" customHeight="false" outlineLevel="0" collapsed="false">
      <c r="A8" s="11" t="s">
        <v>14</v>
      </c>
      <c r="B8" s="7" t="n">
        <v>0.01</v>
      </c>
      <c r="C8" s="11"/>
      <c r="D8" s="11"/>
      <c r="E8" s="11"/>
    </row>
    <row r="9" customFormat="false" ht="15" hidden="false" customHeight="false" outlineLevel="0" collapsed="false">
      <c r="A9" s="9" t="s">
        <v>15</v>
      </c>
      <c r="B9" s="12" t="n">
        <v>0.0033</v>
      </c>
      <c r="C9" s="9"/>
      <c r="D9" s="9"/>
      <c r="E9" s="9"/>
    </row>
    <row r="10" customFormat="false" ht="15" hidden="false" customHeight="false" outlineLevel="0" collapsed="false">
      <c r="A10" s="11" t="s">
        <v>16</v>
      </c>
      <c r="B10" s="13" t="n">
        <v>0.0033</v>
      </c>
      <c r="C10" s="11"/>
      <c r="D10" s="11"/>
      <c r="E10" s="11"/>
    </row>
    <row r="11" customFormat="false" ht="15" hidden="false" customHeight="false" outlineLevel="0" collapsed="false">
      <c r="A11" s="3" t="s">
        <v>17</v>
      </c>
      <c r="B11" s="3"/>
      <c r="C11" s="3"/>
      <c r="D11" s="3"/>
      <c r="E11" s="3"/>
    </row>
    <row r="12" customFormat="false" ht="15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  <c r="E12" s="4" t="s">
        <v>10</v>
      </c>
    </row>
    <row r="13" customFormat="false" ht="15" hidden="false" customHeight="false" outlineLevel="0" collapsed="false">
      <c r="A13" s="9" t="s">
        <v>46</v>
      </c>
      <c r="B13" s="14" t="n">
        <v>29972175000</v>
      </c>
      <c r="C13" s="15" t="n">
        <f aca="false">$B13*C$6</f>
        <v>13487478750</v>
      </c>
      <c r="D13" s="15" t="n">
        <f aca="false">$B13*D$6</f>
        <v>16484696250</v>
      </c>
      <c r="E13" s="15" t="n">
        <f aca="false">SUM(C13:D13)</f>
        <v>29972175000</v>
      </c>
    </row>
    <row r="14" customFormat="false" ht="15" hidden="false" customHeight="false" outlineLevel="0" collapsed="false">
      <c r="A14" s="11" t="s">
        <v>47</v>
      </c>
      <c r="B14" s="16" t="n">
        <v>301600500</v>
      </c>
      <c r="C14" s="17" t="n">
        <f aca="false">$B14*C$6</f>
        <v>135720225</v>
      </c>
      <c r="D14" s="17" t="n">
        <f aca="false">$B14*D$6</f>
        <v>165880275</v>
      </c>
      <c r="E14" s="17" t="n">
        <f aca="false">SUM(C14:D14)</f>
        <v>301600500</v>
      </c>
    </row>
    <row r="15" customFormat="false" ht="15" hidden="false" customHeight="false" outlineLevel="0" collapsed="false">
      <c r="A15" s="9" t="s">
        <v>48</v>
      </c>
      <c r="B15" s="14" t="n">
        <v>0</v>
      </c>
      <c r="C15" s="15" t="n">
        <f aca="false">$B15*C$6</f>
        <v>0</v>
      </c>
      <c r="D15" s="15" t="n">
        <f aca="false">$B15*D$6</f>
        <v>0</v>
      </c>
      <c r="E15" s="15" t="n">
        <f aca="false">SUM(C15:D15)</f>
        <v>0</v>
      </c>
    </row>
    <row r="16" customFormat="false" ht="15" hidden="false" customHeight="false" outlineLevel="0" collapsed="false">
      <c r="A16" s="18" t="s">
        <v>21</v>
      </c>
      <c r="B16" s="19" t="n">
        <f aca="false">SUM(B13:B15)</f>
        <v>30273775500</v>
      </c>
      <c r="C16" s="19" t="n">
        <f aca="false">SUM(C13:C15)</f>
        <v>13623198975</v>
      </c>
      <c r="D16" s="19" t="n">
        <f aca="false">SUM(D13:D15)</f>
        <v>16650576525</v>
      </c>
      <c r="E16" s="19" t="n">
        <f aca="false">SUM(E13:E15)</f>
        <v>30273775500</v>
      </c>
    </row>
    <row r="18" customFormat="false" ht="15" hidden="false" customHeight="false" outlineLevel="0" collapsed="false">
      <c r="A18" s="3" t="s">
        <v>22</v>
      </c>
      <c r="B18" s="3"/>
      <c r="C18" s="3"/>
      <c r="D18" s="3"/>
      <c r="E18" s="3"/>
    </row>
    <row r="19" customFormat="false" ht="15" hidden="false" customHeight="false" outlineLevel="0" collapsed="false">
      <c r="A19" s="4" t="s">
        <v>3</v>
      </c>
      <c r="B19" s="4" t="s">
        <v>4</v>
      </c>
      <c r="C19" s="4" t="s">
        <v>5</v>
      </c>
      <c r="D19" s="4" t="s">
        <v>6</v>
      </c>
      <c r="E19" s="4" t="s">
        <v>10</v>
      </c>
    </row>
    <row r="20" customFormat="false" ht="15" hidden="false" customHeight="false" outlineLevel="0" collapsed="false">
      <c r="A20" s="9" t="s">
        <v>49</v>
      </c>
      <c r="B20" s="14" t="n">
        <v>6779987611</v>
      </c>
      <c r="C20" s="15" t="n">
        <f aca="false">$B20*C$6</f>
        <v>3050994424.95</v>
      </c>
      <c r="D20" s="15" t="n">
        <f aca="false">$B20*D$6</f>
        <v>3728993186.05</v>
      </c>
      <c r="E20" s="15" t="n">
        <f aca="false">SUM(C20:D20)</f>
        <v>6779987611</v>
      </c>
    </row>
    <row r="21" customFormat="false" ht="15" hidden="false" customHeight="false" outlineLevel="0" collapsed="false">
      <c r="A21" s="11" t="s">
        <v>50</v>
      </c>
      <c r="B21" s="16" t="n">
        <v>12280784809</v>
      </c>
      <c r="C21" s="17" t="n">
        <f aca="false">$B21*C$6</f>
        <v>5526353164.05</v>
      </c>
      <c r="D21" s="17" t="n">
        <f aca="false">$B21*D$6</f>
        <v>6754431644.95</v>
      </c>
      <c r="E21" s="17" t="n">
        <f aca="false">SUM(C21:D21)</f>
        <v>12280784809</v>
      </c>
    </row>
    <row r="22" customFormat="false" ht="15" hidden="false" customHeight="false" outlineLevel="0" collapsed="false">
      <c r="A22" s="9" t="s">
        <v>51</v>
      </c>
      <c r="B22" s="14" t="n">
        <v>1843202715</v>
      </c>
      <c r="C22" s="15" t="n">
        <f aca="false">$B22*C$6</f>
        <v>829441221.75</v>
      </c>
      <c r="D22" s="15" t="n">
        <f aca="false">$B22*D$6</f>
        <v>1013761493.25</v>
      </c>
      <c r="E22" s="15" t="n">
        <f aca="false">SUM(C22:D22)</f>
        <v>1843202715</v>
      </c>
    </row>
    <row r="23" customFormat="false" ht="15" hidden="false" customHeight="false" outlineLevel="0" collapsed="false">
      <c r="A23" s="11" t="s">
        <v>52</v>
      </c>
      <c r="B23" s="16" t="n">
        <v>1283608081</v>
      </c>
      <c r="C23" s="17" t="n">
        <f aca="false">$B23*C$6</f>
        <v>577623636.45</v>
      </c>
      <c r="D23" s="17" t="n">
        <f aca="false">$B23*D$6</f>
        <v>705984444.55</v>
      </c>
      <c r="E23" s="17" t="n">
        <f aca="false">SUM(C23:D23)</f>
        <v>1283608081</v>
      </c>
    </row>
    <row r="24" customFormat="false" ht="15" hidden="false" customHeight="false" outlineLevel="0" collapsed="false">
      <c r="A24" s="9" t="s">
        <v>53</v>
      </c>
      <c r="B24" s="14" t="n">
        <v>1075990529</v>
      </c>
      <c r="C24" s="15" t="n">
        <f aca="false">$B24*C$6</f>
        <v>484195738.05</v>
      </c>
      <c r="D24" s="15" t="n">
        <f aca="false">$B24*D$6</f>
        <v>591794790.95</v>
      </c>
      <c r="E24" s="15" t="n">
        <f aca="false">SUM(C24:D24)</f>
        <v>1075990529</v>
      </c>
    </row>
    <row r="25" customFormat="false" ht="15" hidden="false" customHeight="false" outlineLevel="0" collapsed="false">
      <c r="A25" s="11" t="s">
        <v>54</v>
      </c>
      <c r="B25" s="16" t="n">
        <v>2724639795</v>
      </c>
      <c r="C25" s="17" t="n">
        <f aca="false">$B25*C$6</f>
        <v>1226087907.75</v>
      </c>
      <c r="D25" s="17" t="n">
        <f aca="false">$B25*D$6</f>
        <v>1498551887.25</v>
      </c>
      <c r="E25" s="17" t="n">
        <f aca="false">SUM(C25:D25)</f>
        <v>2724639795</v>
      </c>
    </row>
    <row r="26" customFormat="false" ht="15" hidden="false" customHeight="false" outlineLevel="0" collapsed="false">
      <c r="A26" s="18" t="s">
        <v>29</v>
      </c>
      <c r="B26" s="19" t="n">
        <f aca="false">SUM(B20:B25)</f>
        <v>25988213540</v>
      </c>
      <c r="C26" s="19" t="n">
        <f aca="false">SUM(C20:C25)</f>
        <v>11694696093</v>
      </c>
      <c r="D26" s="19" t="n">
        <f aca="false">SUM(D20:D25)</f>
        <v>14293517447</v>
      </c>
      <c r="E26" s="19" t="n">
        <f aca="false">SUM(E20:E25)</f>
        <v>25988213540</v>
      </c>
    </row>
    <row r="28" customFormat="false" ht="15" hidden="false" customHeight="false" outlineLevel="0" collapsed="false">
      <c r="A28" s="3" t="s">
        <v>30</v>
      </c>
      <c r="B28" s="3"/>
      <c r="C28" s="3"/>
      <c r="D28" s="3"/>
      <c r="E28" s="3"/>
    </row>
    <row r="29" customFormat="false" ht="15" hidden="false" customHeight="false" outlineLevel="0" collapsed="false">
      <c r="A29" s="20" t="s">
        <v>31</v>
      </c>
      <c r="B29" s="21" t="n">
        <f aca="false">B16-B26</f>
        <v>4285561960</v>
      </c>
      <c r="C29" s="21" t="n">
        <f aca="false">C16-C26</f>
        <v>1928502882</v>
      </c>
      <c r="D29" s="21" t="n">
        <f aca="false">D16-D26</f>
        <v>2357059078</v>
      </c>
      <c r="E29" s="21" t="n">
        <f aca="false">SUM(C29:D29)</f>
        <v>4285561960</v>
      </c>
    </row>
    <row r="31" customFormat="false" ht="15" hidden="false" customHeight="false" outlineLevel="0" collapsed="false">
      <c r="A31" s="3" t="s">
        <v>32</v>
      </c>
      <c r="B31" s="3"/>
      <c r="C31" s="3"/>
      <c r="D31" s="3"/>
      <c r="E31" s="3"/>
    </row>
    <row r="32" customFormat="false" ht="15" hidden="false" customHeight="false" outlineLevel="0" collapsed="false">
      <c r="A32" s="4" t="s">
        <v>3</v>
      </c>
      <c r="B32" s="4" t="s">
        <v>4</v>
      </c>
      <c r="C32" s="4" t="s">
        <v>5</v>
      </c>
      <c r="D32" s="4" t="s">
        <v>6</v>
      </c>
      <c r="E32" s="4" t="s">
        <v>10</v>
      </c>
    </row>
    <row r="33" customFormat="false" ht="15" hidden="false" customHeight="false" outlineLevel="0" collapsed="false">
      <c r="A33" s="9" t="s">
        <v>33</v>
      </c>
      <c r="B33" s="15" t="n">
        <f aca="false">$B$7*B29</f>
        <v>1499946686</v>
      </c>
      <c r="C33" s="15" t="n">
        <f aca="false">$B$7*C29</f>
        <v>674976008.7</v>
      </c>
      <c r="D33" s="15" t="n">
        <f aca="false">$B$7*D29</f>
        <v>824970677.3</v>
      </c>
      <c r="E33" s="15" t="n">
        <f aca="false">SUM(C33:D33)</f>
        <v>1499946686</v>
      </c>
    </row>
    <row r="34" customFormat="false" ht="15" hidden="false" customHeight="false" outlineLevel="0" collapsed="false">
      <c r="A34" s="11" t="s">
        <v>34</v>
      </c>
      <c r="B34" s="17" t="n">
        <f aca="false">$B$8*B16</f>
        <v>302737755</v>
      </c>
      <c r="C34" s="17" t="n">
        <f aca="false">$B$8*C16</f>
        <v>136231989.75</v>
      </c>
      <c r="D34" s="17" t="n">
        <f aca="false">$B$8*D16</f>
        <v>166505765.25</v>
      </c>
      <c r="E34" s="17" t="n">
        <f aca="false">SUM(C34:D34)</f>
        <v>302737755</v>
      </c>
    </row>
    <row r="35" customFormat="false" ht="15" hidden="false" customHeight="false" outlineLevel="0" collapsed="false">
      <c r="A35" s="9" t="s">
        <v>35</v>
      </c>
      <c r="B35" s="15" t="n">
        <f aca="false">$B$9*B16</f>
        <v>99903459.15</v>
      </c>
      <c r="C35" s="15" t="n">
        <f aca="false">$B$9*C16</f>
        <v>44956556.6175</v>
      </c>
      <c r="D35" s="15" t="n">
        <f aca="false">$B$9*D16</f>
        <v>54946902.5325</v>
      </c>
      <c r="E35" s="15" t="n">
        <f aca="false">SUM(C35:D35)</f>
        <v>99903459.15</v>
      </c>
    </row>
    <row r="36" customFormat="false" ht="15" hidden="false" customHeight="false" outlineLevel="0" collapsed="false">
      <c r="A36" s="11" t="s">
        <v>36</v>
      </c>
      <c r="B36" s="17" t="n">
        <f aca="false">$B$10*B16</f>
        <v>99903459.15</v>
      </c>
      <c r="C36" s="17" t="n">
        <f aca="false">$B$10*C16</f>
        <v>44956556.6175</v>
      </c>
      <c r="D36" s="17" t="n">
        <f aca="false">$B$10*D16</f>
        <v>54946902.5325</v>
      </c>
      <c r="E36" s="17" t="n">
        <f aca="false">SUM(C36:D36)</f>
        <v>99903459.15</v>
      </c>
    </row>
    <row r="37" customFormat="false" ht="15" hidden="false" customHeight="false" outlineLevel="0" collapsed="false">
      <c r="A37" s="18" t="s">
        <v>37</v>
      </c>
      <c r="B37" s="19" t="n">
        <f aca="false">SUM(B33:B36)</f>
        <v>2002491359.3</v>
      </c>
      <c r="C37" s="19" t="n">
        <f aca="false">SUM(C33:C36)</f>
        <v>901121111.685</v>
      </c>
      <c r="D37" s="19" t="n">
        <f aca="false">SUM(D33:D36)</f>
        <v>1101370247.615</v>
      </c>
      <c r="E37" s="19" t="n">
        <f aca="false">SUM(E33:E36)</f>
        <v>2002491359.3</v>
      </c>
    </row>
    <row r="39" customFormat="false" ht="15" hidden="false" customHeight="false" outlineLevel="0" collapsed="false">
      <c r="A39" s="3" t="s">
        <v>38</v>
      </c>
      <c r="B39" s="3"/>
      <c r="C39" s="3"/>
      <c r="D39" s="3"/>
      <c r="E39" s="3"/>
    </row>
    <row r="40" customFormat="false" ht="15" hidden="false" customHeight="false" outlineLevel="0" collapsed="false">
      <c r="A40" s="4" t="s">
        <v>3</v>
      </c>
      <c r="B40" s="4" t="s">
        <v>4</v>
      </c>
      <c r="C40" s="4" t="s">
        <v>5</v>
      </c>
      <c r="D40" s="4" t="s">
        <v>6</v>
      </c>
      <c r="E40" s="4" t="s">
        <v>10</v>
      </c>
    </row>
    <row r="41" customFormat="false" ht="15" hidden="false" customHeight="false" outlineLevel="0" collapsed="false">
      <c r="A41" s="22" t="s">
        <v>39</v>
      </c>
      <c r="B41" s="23" t="n">
        <f aca="false">B29-B37</f>
        <v>2283070600.7</v>
      </c>
      <c r="C41" s="23" t="n">
        <f aca="false">C29-C37</f>
        <v>1027381770.315</v>
      </c>
      <c r="D41" s="23" t="n">
        <f aca="false">D29-D37</f>
        <v>1255688830.385</v>
      </c>
      <c r="E41" s="23" t="n">
        <f aca="false">SUM(C41:D41)</f>
        <v>2283070600.7</v>
      </c>
    </row>
    <row r="42" customFormat="false" ht="15" hidden="false" customHeight="false" outlineLevel="0" collapsed="false">
      <c r="A42" s="11" t="s">
        <v>40</v>
      </c>
      <c r="B42" s="6" t="s">
        <v>12</v>
      </c>
      <c r="C42" s="17" t="n">
        <f aca="false">C41</f>
        <v>1027381770.315</v>
      </c>
      <c r="D42" s="17" t="n">
        <f aca="false">C42+D41</f>
        <v>2283070600.7</v>
      </c>
      <c r="E42" s="17" t="n">
        <f aca="false">D42</f>
        <v>2283070600.7</v>
      </c>
    </row>
    <row r="43" customFormat="false" ht="15" hidden="false" customHeight="false" outlineLevel="0" collapsed="false">
      <c r="A43" s="9" t="s">
        <v>41</v>
      </c>
      <c r="B43" s="24" t="s">
        <v>12</v>
      </c>
      <c r="C43" s="25" t="n">
        <f aca="false">IFERROR(C41/C16,0)</f>
        <v>0.0754141352703101</v>
      </c>
      <c r="D43" s="25" t="n">
        <f aca="false">IFERROR(D41/D16,0)</f>
        <v>0.0754141352703101</v>
      </c>
      <c r="E43" s="26" t="n">
        <f aca="false">IFERROR(E41/E16,0)</f>
        <v>0.0754141352703101</v>
      </c>
    </row>
    <row r="44" customFormat="false" ht="15" hidden="false" customHeight="false" outlineLevel="0" collapsed="false">
      <c r="A44" s="11" t="s">
        <v>42</v>
      </c>
      <c r="B44" s="6" t="s">
        <v>12</v>
      </c>
      <c r="C44" s="27" t="n">
        <f aca="false">IFERROR(C41/C26,0)</f>
        <v>0.0878502324596491</v>
      </c>
      <c r="D44" s="27" t="n">
        <f aca="false">IFERROR(D41/D26,0)</f>
        <v>0.0878502324596491</v>
      </c>
      <c r="E44" s="8" t="n">
        <f aca="false">IFERROR(E41/E26,0)</f>
        <v>0.0878502324596491</v>
      </c>
    </row>
    <row r="46" customFormat="false" ht="15" hidden="false" customHeight="true" outlineLevel="0" collapsed="false">
      <c r="A46" s="28" t="s">
        <v>55</v>
      </c>
      <c r="B46" s="28"/>
      <c r="C46" s="28"/>
      <c r="D46" s="28"/>
      <c r="E46" s="28"/>
    </row>
    <row r="47" customFormat="false" ht="15" hidden="false" customHeight="false" outlineLevel="0" collapsed="false">
      <c r="A47" s="28"/>
      <c r="B47" s="28"/>
      <c r="C47" s="28"/>
      <c r="D47" s="28"/>
      <c r="E47" s="28"/>
    </row>
  </sheetData>
  <mergeCells count="9">
    <mergeCell ref="A1:E1"/>
    <mergeCell ref="A2:E2"/>
    <mergeCell ref="A4:E4"/>
    <mergeCell ref="A11:E11"/>
    <mergeCell ref="A18:E18"/>
    <mergeCell ref="A28:E28"/>
    <mergeCell ref="A31:E31"/>
    <mergeCell ref="A39:E39"/>
    <mergeCell ref="A46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1"/>
    <col collapsed="false" customWidth="true" hidden="false" outlineLevel="0" max="4" min="4" style="0" width="23"/>
    <col collapsed="false" customWidth="true" hidden="false" outlineLevel="0" max="5" min="5" style="0" width="34"/>
  </cols>
  <sheetData>
    <row r="1" customFormat="false" ht="25.5" hidden="false" customHeight="true" outlineLevel="0" collapsed="false">
      <c r="A1" s="1" t="s">
        <v>56</v>
      </c>
      <c r="B1" s="1"/>
      <c r="C1" s="1"/>
      <c r="D1" s="1"/>
      <c r="E1" s="1"/>
    </row>
    <row r="2" customFormat="false" ht="18" hidden="false" customHeight="true" outlineLevel="0" collapsed="false">
      <c r="A2" s="2" t="s">
        <v>57</v>
      </c>
      <c r="B2" s="2"/>
      <c r="C2" s="2"/>
      <c r="D2" s="2"/>
      <c r="E2" s="2"/>
    </row>
    <row r="4" customFormat="false" ht="15" hidden="false" customHeight="false" outlineLevel="0" collapsed="false">
      <c r="A4" s="3" t="s">
        <v>58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 t="s">
        <v>59</v>
      </c>
      <c r="C5" s="4" t="s">
        <v>60</v>
      </c>
      <c r="D5" s="4" t="s">
        <v>61</v>
      </c>
      <c r="E5" s="4" t="s">
        <v>62</v>
      </c>
    </row>
    <row r="6" customFormat="false" ht="15" hidden="false" customHeight="false" outlineLevel="0" collapsed="false">
      <c r="A6" s="5" t="s">
        <v>63</v>
      </c>
      <c r="B6" s="29" t="n">
        <f aca="false">'1. Suba Himalaya'!H16</f>
        <v>225868440000</v>
      </c>
      <c r="C6" s="29" t="n">
        <f aca="false">'2. Santa Bárbara'!E16</f>
        <v>30273775500</v>
      </c>
      <c r="D6" s="30" t="n">
        <f aca="false">B6+C6</f>
        <v>256142215500</v>
      </c>
      <c r="E6" s="31" t="s">
        <v>64</v>
      </c>
    </row>
    <row r="7" customFormat="false" ht="15" hidden="false" customHeight="false" outlineLevel="0" collapsed="false">
      <c r="A7" s="9" t="s">
        <v>65</v>
      </c>
      <c r="B7" s="32" t="n">
        <f aca="false">'1. Suba Himalaya'!H26</f>
        <v>122691494349</v>
      </c>
      <c r="C7" s="32" t="n">
        <f aca="false">'2. Santa Bárbara'!E26</f>
        <v>25988213540</v>
      </c>
      <c r="D7" s="33" t="n">
        <f aca="false">B7+C7</f>
        <v>148679707889</v>
      </c>
      <c r="E7" s="34" t="s">
        <v>66</v>
      </c>
    </row>
    <row r="8" customFormat="false" ht="15" hidden="false" customHeight="false" outlineLevel="0" collapsed="false">
      <c r="A8" s="20" t="s">
        <v>67</v>
      </c>
      <c r="B8" s="21" t="n">
        <f aca="false">B6-B7</f>
        <v>103176945651</v>
      </c>
      <c r="C8" s="21" t="n">
        <f aca="false">C6-C7</f>
        <v>4285561960</v>
      </c>
      <c r="D8" s="21" t="n">
        <f aca="false">D6-D7</f>
        <v>107462507611</v>
      </c>
      <c r="E8" s="35" t="s">
        <v>68</v>
      </c>
    </row>
    <row r="9" customFormat="false" ht="15" hidden="false" customHeight="false" outlineLevel="0" collapsed="false">
      <c r="A9" s="9" t="s">
        <v>69</v>
      </c>
      <c r="B9" s="32" t="n">
        <f aca="false">'1. Suba Himalaya'!H37</f>
        <v>39861347081.85</v>
      </c>
      <c r="C9" s="32" t="n">
        <f aca="false">'2. Santa Bárbara'!E37</f>
        <v>2002491359.3</v>
      </c>
      <c r="D9" s="33" t="n">
        <f aca="false">B9+C9</f>
        <v>41863838441.15</v>
      </c>
      <c r="E9" s="34" t="s">
        <v>70</v>
      </c>
    </row>
    <row r="10" customFormat="false" ht="15" hidden="false" customHeight="false" outlineLevel="0" collapsed="false">
      <c r="A10" s="22" t="s">
        <v>71</v>
      </c>
      <c r="B10" s="23" t="n">
        <f aca="false">B8-B9</f>
        <v>63315598569.15</v>
      </c>
      <c r="C10" s="23" t="n">
        <f aca="false">C8-C9</f>
        <v>2283070600.7</v>
      </c>
      <c r="D10" s="23" t="n">
        <f aca="false">D8-D9</f>
        <v>65598669169.85</v>
      </c>
      <c r="E10" s="36" t="s">
        <v>72</v>
      </c>
    </row>
    <row r="11" customFormat="false" ht="15" hidden="false" customHeight="false" outlineLevel="0" collapsed="false">
      <c r="A11" s="11" t="s">
        <v>73</v>
      </c>
      <c r="B11" s="27" t="n">
        <f aca="false">IFERROR(B10/B6,0)</f>
        <v>0.280320697168449</v>
      </c>
      <c r="C11" s="27" t="n">
        <f aca="false">IFERROR(C10/C6,0)</f>
        <v>0.0754141352703101</v>
      </c>
      <c r="D11" s="27" t="n">
        <f aca="false">IFERROR(D10/D6,0)</f>
        <v>0.256102528986871</v>
      </c>
      <c r="E11" s="31" t="s">
        <v>74</v>
      </c>
    </row>
    <row r="12" customFormat="false" ht="15" hidden="false" customHeight="false" outlineLevel="0" collapsed="false">
      <c r="A12" s="9" t="s">
        <v>75</v>
      </c>
      <c r="B12" s="25" t="n">
        <f aca="false">IFERROR(B10/B7,0)</f>
        <v>0.516055321561629</v>
      </c>
      <c r="C12" s="25" t="n">
        <f aca="false">IFERROR(C10/C7,0)</f>
        <v>0.0878502324596491</v>
      </c>
      <c r="D12" s="25" t="n">
        <f aca="false">IFERROR(D10/D7,0)</f>
        <v>0.441207950306333</v>
      </c>
      <c r="E12" s="34" t="s">
        <v>76</v>
      </c>
    </row>
    <row r="14" customFormat="false" ht="15" hidden="false" customHeight="false" outlineLevel="0" collapsed="false">
      <c r="A14" s="3" t="s">
        <v>77</v>
      </c>
      <c r="B14" s="3"/>
      <c r="C14" s="3"/>
      <c r="D14" s="3"/>
      <c r="E14" s="3"/>
    </row>
    <row r="15" customFormat="false" ht="15" hidden="false" customHeight="false" outlineLevel="0" collapsed="false">
      <c r="A15" s="9" t="s">
        <v>78</v>
      </c>
      <c r="B15" s="9"/>
      <c r="C15" s="9"/>
      <c r="D15" s="12" t="n">
        <v>0.004</v>
      </c>
      <c r="E15" s="34" t="s">
        <v>79</v>
      </c>
    </row>
    <row r="16" customFormat="false" ht="15" hidden="false" customHeight="false" outlineLevel="0" collapsed="false">
      <c r="A16" s="4" t="s">
        <v>3</v>
      </c>
      <c r="B16" s="4" t="s">
        <v>59</v>
      </c>
      <c r="C16" s="4" t="s">
        <v>60</v>
      </c>
      <c r="D16" s="4" t="s">
        <v>61</v>
      </c>
      <c r="E16" s="4" t="s">
        <v>80</v>
      </c>
    </row>
    <row r="17" customFormat="false" ht="15" hidden="false" customHeight="false" outlineLevel="0" collapsed="false">
      <c r="A17" s="9" t="s">
        <v>33</v>
      </c>
      <c r="B17" s="32" t="n">
        <f aca="false">'1. Suba Himalaya'!H33</f>
        <v>36111930977.85</v>
      </c>
      <c r="C17" s="32" t="n">
        <f aca="false">'2. Santa Bárbara'!E33</f>
        <v>1499946686</v>
      </c>
      <c r="D17" s="33" t="n">
        <f aca="false">B17+C17</f>
        <v>37611877663.85</v>
      </c>
      <c r="E17" s="34" t="s">
        <v>81</v>
      </c>
    </row>
    <row r="18" customFormat="false" ht="15" hidden="false" customHeight="false" outlineLevel="0" collapsed="false">
      <c r="A18" s="11" t="s">
        <v>34</v>
      </c>
      <c r="B18" s="37" t="n">
        <f aca="false">'1. Suba Himalaya'!H34</f>
        <v>2258684400</v>
      </c>
      <c r="C18" s="37" t="n">
        <f aca="false">'2. Santa Bárbara'!E34</f>
        <v>302737755</v>
      </c>
      <c r="D18" s="30" t="n">
        <f aca="false">B18+C18</f>
        <v>2561422155</v>
      </c>
      <c r="E18" s="31" t="s">
        <v>82</v>
      </c>
    </row>
    <row r="19" customFormat="false" ht="15" hidden="false" customHeight="false" outlineLevel="0" collapsed="false">
      <c r="A19" s="9" t="s">
        <v>35</v>
      </c>
      <c r="B19" s="32" t="n">
        <f aca="false">'1. Suba Himalaya'!H35</f>
        <v>745365852</v>
      </c>
      <c r="C19" s="32" t="n">
        <f aca="false">'2. Santa Bárbara'!E35</f>
        <v>99903459.15</v>
      </c>
      <c r="D19" s="33" t="n">
        <f aca="false">B19+C19</f>
        <v>845269311.15</v>
      </c>
      <c r="E19" s="34" t="s">
        <v>83</v>
      </c>
    </row>
    <row r="20" customFormat="false" ht="15" hidden="false" customHeight="false" outlineLevel="0" collapsed="false">
      <c r="A20" s="11" t="s">
        <v>36</v>
      </c>
      <c r="B20" s="37" t="n">
        <f aca="false">'1. Suba Himalaya'!H36</f>
        <v>745365852</v>
      </c>
      <c r="C20" s="37" t="n">
        <f aca="false">'2. Santa Bárbara'!E36</f>
        <v>99903459.15</v>
      </c>
      <c r="D20" s="30" t="n">
        <f aca="false">B20+C20</f>
        <v>845269311.15</v>
      </c>
      <c r="E20" s="31" t="s">
        <v>84</v>
      </c>
    </row>
    <row r="21" customFormat="false" ht="15" hidden="false" customHeight="false" outlineLevel="0" collapsed="false">
      <c r="A21" s="11" t="s">
        <v>85</v>
      </c>
      <c r="B21" s="6" t="s">
        <v>12</v>
      </c>
      <c r="C21" s="6" t="s">
        <v>12</v>
      </c>
      <c r="D21" s="30" t="n">
        <f aca="false">$D$15*(D6+D7)</f>
        <v>1619287693.556</v>
      </c>
      <c r="E21" s="31" t="s">
        <v>86</v>
      </c>
    </row>
    <row r="22" customFormat="false" ht="15" hidden="false" customHeight="false" outlineLevel="0" collapsed="false">
      <c r="A22" s="18" t="s">
        <v>87</v>
      </c>
      <c r="B22" s="19" t="n">
        <f aca="false">SUM(B17:B20)</f>
        <v>39861347081.85</v>
      </c>
      <c r="C22" s="19" t="n">
        <f aca="false">SUM(C17:C20)</f>
        <v>2002491359.3</v>
      </c>
      <c r="D22" s="19" t="n">
        <f aca="false">SUM(D17:D21)</f>
        <v>43483126134.706</v>
      </c>
      <c r="E22" s="38" t="s">
        <v>88</v>
      </c>
    </row>
    <row r="24" customFormat="false" ht="15" hidden="false" customHeight="true" outlineLevel="0" collapsed="false">
      <c r="A24" s="28" t="s">
        <v>89</v>
      </c>
      <c r="B24" s="28"/>
      <c r="C24" s="28"/>
      <c r="D24" s="28"/>
      <c r="E24" s="28"/>
    </row>
    <row r="25" customFormat="false" ht="15" hidden="false" customHeight="false" outlineLevel="0" collapsed="false">
      <c r="A25" s="28"/>
      <c r="B25" s="28"/>
      <c r="C25" s="28"/>
      <c r="D25" s="28"/>
      <c r="E25" s="28"/>
    </row>
    <row r="26" customFormat="false" ht="15" hidden="false" customHeight="false" outlineLevel="0" collapsed="false">
      <c r="A26" s="28"/>
      <c r="B26" s="28"/>
      <c r="C26" s="28"/>
      <c r="D26" s="28"/>
      <c r="E26" s="28"/>
    </row>
  </sheetData>
  <mergeCells count="5">
    <mergeCell ref="A1:E1"/>
    <mergeCell ref="A2:E2"/>
    <mergeCell ref="A4:E4"/>
    <mergeCell ref="A14:E14"/>
    <mergeCell ref="A24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2"/>
    <col collapsed="false" customWidth="true" hidden="false" outlineLevel="0" max="4" min="4" style="0" width="24"/>
  </cols>
  <sheetData>
    <row r="1" customFormat="false" ht="25.5" hidden="false" customHeight="true" outlineLevel="0" collapsed="false">
      <c r="A1" s="1" t="s">
        <v>90</v>
      </c>
      <c r="B1" s="1"/>
      <c r="C1" s="1"/>
      <c r="D1" s="1"/>
    </row>
    <row r="2" customFormat="false" ht="18" hidden="false" customHeight="true" outlineLevel="0" collapsed="false">
      <c r="A2" s="2" t="s">
        <v>91</v>
      </c>
      <c r="B2" s="2"/>
      <c r="C2" s="2"/>
      <c r="D2" s="2"/>
    </row>
    <row r="4" customFormat="false" ht="15" hidden="false" customHeight="false" outlineLevel="0" collapsed="false">
      <c r="A4" s="3" t="s">
        <v>92</v>
      </c>
      <c r="B4" s="3"/>
      <c r="C4" s="3"/>
      <c r="D4" s="3"/>
    </row>
    <row r="5" customFormat="false" ht="15" hidden="false" customHeight="true" outlineLevel="0" collapsed="false">
      <c r="A5" s="39" t="s">
        <v>93</v>
      </c>
      <c r="B5" s="39"/>
      <c r="C5" s="39"/>
      <c r="D5" s="39"/>
    </row>
    <row r="6" customFormat="false" ht="15" hidden="false" customHeight="false" outlineLevel="0" collapsed="false">
      <c r="A6" s="39"/>
      <c r="B6" s="39"/>
      <c r="C6" s="39"/>
      <c r="D6" s="39"/>
    </row>
    <row r="7" customFormat="false" ht="15" hidden="false" customHeight="true" outlineLevel="0" collapsed="false">
      <c r="A7" s="39" t="s">
        <v>94</v>
      </c>
      <c r="B7" s="39"/>
      <c r="C7" s="39"/>
      <c r="D7" s="39"/>
    </row>
    <row r="8" customFormat="false" ht="15" hidden="false" customHeight="false" outlineLevel="0" collapsed="false">
      <c r="A8" s="39"/>
      <c r="B8" s="39"/>
      <c r="C8" s="39"/>
      <c r="D8" s="39"/>
    </row>
    <row r="10" customFormat="false" ht="15" hidden="false" customHeight="false" outlineLevel="0" collapsed="false">
      <c r="A10" s="3" t="s">
        <v>95</v>
      </c>
      <c r="B10" s="3"/>
      <c r="C10" s="3"/>
      <c r="D10" s="3"/>
    </row>
    <row r="11" customFormat="false" ht="15" hidden="false" customHeight="false" outlineLevel="0" collapsed="false">
      <c r="A11" s="4" t="s">
        <v>3</v>
      </c>
      <c r="B11" s="4" t="s">
        <v>59</v>
      </c>
      <c r="C11" s="4" t="s">
        <v>60</v>
      </c>
      <c r="D11" s="4" t="s">
        <v>96</v>
      </c>
    </row>
    <row r="12" customFormat="false" ht="15" hidden="false" customHeight="false" outlineLevel="0" collapsed="false">
      <c r="A12" s="5" t="s">
        <v>97</v>
      </c>
      <c r="B12" s="29" t="n">
        <f aca="false">'3. Consolidado'!B6</f>
        <v>225868440000</v>
      </c>
      <c r="C12" s="29" t="n">
        <f aca="false">'3. Consolidado'!C6</f>
        <v>30273775500</v>
      </c>
      <c r="D12" s="29" t="n">
        <f aca="false">'3. Consolidado'!D6</f>
        <v>256142215500</v>
      </c>
    </row>
    <row r="13" customFormat="false" ht="15" hidden="false" customHeight="false" outlineLevel="0" collapsed="false">
      <c r="A13" s="9" t="s">
        <v>98</v>
      </c>
      <c r="B13" s="32" t="n">
        <f aca="false">'3. Consolidado'!B7</f>
        <v>122691494349</v>
      </c>
      <c r="C13" s="32" t="n">
        <f aca="false">'3. Consolidado'!C7</f>
        <v>25988213540</v>
      </c>
      <c r="D13" s="32" t="n">
        <f aca="false">'3. Consolidado'!D7</f>
        <v>148679707889</v>
      </c>
    </row>
    <row r="14" customFormat="false" ht="15" hidden="false" customHeight="false" outlineLevel="0" collapsed="false">
      <c r="A14" s="20" t="s">
        <v>99</v>
      </c>
      <c r="B14" s="40" t="n">
        <f aca="false">'3. Consolidado'!B8</f>
        <v>103176945651</v>
      </c>
      <c r="C14" s="40" t="n">
        <f aca="false">'3. Consolidado'!C8</f>
        <v>4285561960</v>
      </c>
      <c r="D14" s="40" t="n">
        <f aca="false">'3. Consolidado'!D8</f>
        <v>107462507611</v>
      </c>
    </row>
    <row r="15" customFormat="false" ht="15" hidden="false" customHeight="false" outlineLevel="0" collapsed="false">
      <c r="A15" s="9" t="s">
        <v>100</v>
      </c>
      <c r="B15" s="32" t="n">
        <f aca="false">'3. Consolidado'!B9</f>
        <v>39861347081.85</v>
      </c>
      <c r="C15" s="32" t="n">
        <f aca="false">'3. Consolidado'!C9</f>
        <v>2002491359.3</v>
      </c>
      <c r="D15" s="32" t="n">
        <f aca="false">'3. Consolidado'!D9</f>
        <v>41863838441.15</v>
      </c>
    </row>
    <row r="16" customFormat="false" ht="15" hidden="false" customHeight="false" outlineLevel="0" collapsed="false">
      <c r="A16" s="22" t="s">
        <v>101</v>
      </c>
      <c r="B16" s="41" t="n">
        <f aca="false">'3. Consolidado'!B10</f>
        <v>63315598569.15</v>
      </c>
      <c r="C16" s="41" t="n">
        <f aca="false">'3. Consolidado'!C10</f>
        <v>2283070600.7</v>
      </c>
      <c r="D16" s="41" t="n">
        <f aca="false">'3. Consolidado'!D10</f>
        <v>65598669169.85</v>
      </c>
    </row>
    <row r="17" customFormat="false" ht="15" hidden="false" customHeight="false" outlineLevel="0" collapsed="false">
      <c r="A17" s="11" t="s">
        <v>73</v>
      </c>
      <c r="B17" s="42" t="n">
        <f aca="false">'3. Consolidado'!B11</f>
        <v>0.280320697168449</v>
      </c>
      <c r="C17" s="42" t="n">
        <f aca="false">'3. Consolidado'!C11</f>
        <v>0.0754141352703101</v>
      </c>
      <c r="D17" s="42" t="n">
        <f aca="false">'3. Consolidado'!D11</f>
        <v>0.256102528986871</v>
      </c>
    </row>
    <row r="18" customFormat="false" ht="15" hidden="false" customHeight="false" outlineLevel="0" collapsed="false">
      <c r="A18" s="9" t="s">
        <v>75</v>
      </c>
      <c r="B18" s="43" t="n">
        <f aca="false">'3. Consolidado'!B12</f>
        <v>0.516055321561629</v>
      </c>
      <c r="C18" s="43" t="n">
        <f aca="false">'3. Consolidado'!C12</f>
        <v>0.0878502324596491</v>
      </c>
      <c r="D18" s="43" t="n">
        <f aca="false">'3. Consolidado'!D12</f>
        <v>0.441207950306333</v>
      </c>
    </row>
    <row r="20" customFormat="false" ht="15" hidden="false" customHeight="false" outlineLevel="0" collapsed="false">
      <c r="A20" s="3" t="s">
        <v>102</v>
      </c>
      <c r="B20" s="3"/>
      <c r="C20" s="3"/>
      <c r="D20" s="3"/>
    </row>
    <row r="21" customFormat="false" ht="15" hidden="false" customHeight="true" outlineLevel="0" collapsed="false">
      <c r="A21" s="39" t="s">
        <v>103</v>
      </c>
      <c r="B21" s="39"/>
      <c r="C21" s="39"/>
      <c r="D21" s="39"/>
    </row>
    <row r="22" customFormat="false" ht="15" hidden="false" customHeight="false" outlineLevel="0" collapsed="false">
      <c r="A22" s="39"/>
      <c r="B22" s="39"/>
      <c r="C22" s="39"/>
      <c r="D22" s="39"/>
    </row>
    <row r="23" customFormat="false" ht="15" hidden="false" customHeight="false" outlineLevel="0" collapsed="false">
      <c r="A23" s="39"/>
      <c r="B23" s="39"/>
      <c r="C23" s="39"/>
      <c r="D23" s="39"/>
    </row>
    <row r="24" customFormat="false" ht="15" hidden="false" customHeight="false" outlineLevel="0" collapsed="false">
      <c r="A24" s="39"/>
      <c r="B24" s="39"/>
      <c r="C24" s="39"/>
      <c r="D24" s="39"/>
    </row>
    <row r="26" customFormat="false" ht="15" hidden="false" customHeight="false" outlineLevel="0" collapsed="false">
      <c r="A26" s="3" t="s">
        <v>104</v>
      </c>
      <c r="B26" s="3"/>
      <c r="C26" s="3"/>
      <c r="D26" s="3"/>
    </row>
    <row r="27" customFormat="false" ht="15" hidden="false" customHeight="true" outlineLevel="0" collapsed="false">
      <c r="A27" s="39" t="s">
        <v>105</v>
      </c>
      <c r="B27" s="39"/>
      <c r="C27" s="39"/>
      <c r="D27" s="39"/>
    </row>
    <row r="28" customFormat="false" ht="15" hidden="false" customHeight="false" outlineLevel="0" collapsed="false">
      <c r="A28" s="39"/>
      <c r="B28" s="39"/>
      <c r="C28" s="39"/>
      <c r="D28" s="39"/>
    </row>
    <row r="29" customFormat="false" ht="15" hidden="false" customHeight="false" outlineLevel="0" collapsed="false">
      <c r="A29" s="39"/>
      <c r="B29" s="39"/>
      <c r="C29" s="39"/>
      <c r="D29" s="39"/>
    </row>
    <row r="30" customFormat="false" ht="15" hidden="false" customHeight="false" outlineLevel="0" collapsed="false">
      <c r="A30" s="39"/>
      <c r="B30" s="39"/>
      <c r="C30" s="39"/>
      <c r="D30" s="39"/>
    </row>
    <row r="31" customFormat="false" ht="15" hidden="false" customHeight="false" outlineLevel="0" collapsed="false">
      <c r="A31" s="39"/>
      <c r="B31" s="39"/>
      <c r="C31" s="39"/>
      <c r="D31" s="39"/>
    </row>
    <row r="33" customFormat="false" ht="15" hidden="false" customHeight="false" outlineLevel="0" collapsed="false">
      <c r="A33" s="44" t="s">
        <v>106</v>
      </c>
      <c r="B33" s="44"/>
      <c r="C33" s="44"/>
      <c r="D33" s="44"/>
    </row>
  </sheetData>
  <mergeCells count="11">
    <mergeCell ref="A1:D1"/>
    <mergeCell ref="A2:D2"/>
    <mergeCell ref="A4:D4"/>
    <mergeCell ref="A5:D6"/>
    <mergeCell ref="A7:D8"/>
    <mergeCell ref="A10:D10"/>
    <mergeCell ref="A20:D20"/>
    <mergeCell ref="A21:D24"/>
    <mergeCell ref="A26:D26"/>
    <mergeCell ref="A27:D31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2026-06-28T23:05:34Z</dcterms:created>
  <dc:creator>openpyxl</dc:creator>
  <dc:description/>
  <dc:language>en-US</dc:language>
  <cp:lastModifiedBy/>
  <dcterms:modified xsi:type="dcterms:W3CDTF">2026-06-28T23:05:35Z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