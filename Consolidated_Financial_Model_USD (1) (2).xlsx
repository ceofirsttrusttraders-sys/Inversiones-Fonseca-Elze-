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ba Himalaya" sheetId="1" state="visible" r:id="rId3"/>
    <sheet name="2. Santa Barbara" sheetId="2" state="visible" r:id="rId4"/>
    <sheet name="3. Consolidated" sheetId="3" state="visible" r:id="rId5"/>
    <sheet name="4. Executive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<sst xmlns="http://schemas.openxmlformats.org/spreadsheetml/2006/main" count="210" uniqueCount="107">
  <si>
    <t xml:space="preserve">SUBA HIMALAYA PROJECT  —  SALES PROJECTION 2027–2031</t>
  </si>
  <si>
    <t xml:space="preserve">Base model (24 months) re-distributed over 5 years · 92 apt + 110 parking + 18 terraces · Figures in USD · FX ref. $4,200 COP/USD</t>
  </si>
  <si>
    <t xml:space="preserve">1.  ASSUMPTIONS — SALES DISTRIBUTION AND TAX RATES  (editable · blue text)</t>
  </si>
  <si>
    <t xml:space="preserve">Concept</t>
  </si>
  <si>
    <t xml:space="preserve">Base 24m (USD)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</si>
  <si>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</si>
  <si>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</si>
  <si>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</si>
  <si>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</si>
  <si>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</si>
  <si>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TOTAL</t>
  </si>
  <si>
    <t xml:space="preserve">Sales distribution (% per year)</t>
  </si>
  <si>
    <t xml:space="preserve">—</t>
  </si>
  <si>
    <t xml:space="preserve">Income Tax (on pre-tax profit)</t>
  </si>
  <si>
    <t xml:space="preserve">Withholding Tax (on sales)</t>
  </si>
  <si>
    <t xml:space="preserve">ReteICA / ICA Withholding (on sales)</t>
  </si>
  <si>
    <t xml:space="preserve">Industry &amp; Commerce Tax – ICA (on sales)</t>
  </si>
  <si>
    <t xml:space="preserve">2.  SALES REVENUE (USD)</t>
  </si>
  <si>
    <t xml:space="preserve">Apartment sales (92 units)</t>
  </si>
  <si>
    <t xml:space="preserve">Parking with storage (110 units)</t>
  </si>
  <si>
    <t xml:space="preserve">Terrace sales (18 units)</t>
  </si>
  <si>
    <t xml:space="preserve">TOTAL SALES REVENUE</t>
  </si>
  <si>
    <t xml:space="preserve">3.  PROJECT COSTS (USD)</t>
  </si>
  <si>
    <t xml:space="preserve">Direct construction cost</t>
  </si>
  <si>
    <t xml:space="preserve">Indirect construction cost</t>
  </si>
  <si>
    <t xml:space="preserve">Fiduciary and administrative expenses</t>
  </si>
  <si>
    <t xml:space="preserve">Financial costs (loan + 4×1000 FTT)</t>
  </si>
  <si>
    <t xml:space="preserve">Fees, sales and marketing</t>
  </si>
  <si>
    <t xml:space="preserve">Land acquisition</t>
  </si>
  <si>
    <t xml:space="preserve">TOTAL PROJECT COSTS</t>
  </si>
  <si>
    <t xml:space="preserve">4.  PRE-TAX PROFIT (USD)</t>
  </si>
  <si>
    <t xml:space="preserve">Pre-tax profit</t>
  </si>
  <si>
    <t xml:space="preserve">5.  TAX BURDEN (USD)</t>
  </si>
  <si>
    <t xml:space="preserve">Income Tax (35% on profit)</t>
  </si>
  <si>
    <t xml:space="preserve">Withholding Tax (1% on sales)</t>
  </si>
  <si>
    <t xml:space="preserve">ReteICA / ICA Withholding (0.33% on sales)</t>
  </si>
  <si>
    <t xml:space="preserve">Industry &amp; Commerce Tax – ICA (0.33% on sales)</t>
  </si>
  <si>
    <t xml:space="preserve">TOTAL TAX BURDEN</t>
  </si>
  <si>
    <t xml:space="preserve">6.  NET CASH FLOW / NET PROFIT (USD)</t>
  </si>
  <si>
    <t xml:space="preserve">Annual net profit (net cash flow)</t>
  </si>
  <si>
    <t xml:space="preserve">Cumulative net cash flow</t>
  </si>
  <si>
    <t xml:space="preserve">Net margin (net profit / sales)</t>
  </si>
  <si>
    <t xml:space="preserve">Annual ROI (net profit / costs)</t>
  </si>
  <si>
    <t xml:space="preserve">Note: sales are distributed using the editable curve (row 6). Costs and tax burden are pro-rated over the same curve, so annual totals reconcile exactly with the 24-month base model. FX applied: 4,200 COP/USD.</t>
  </si>
  <si>
    <t xml:space="preserve">SANTA BARBARA PROJECT  —  SALES PROJECTION 2027–2028</t>
  </si>
  <si>
    <t xml:space="preserve">118th Street # 22A, Bogotá · 25 apartments + 3 terraces · Figures in USD · FX ref. $4,200 COP/USD</t>
  </si>
  <si>
    <t xml:space="preserve">Apartment sales (25 units)</t>
  </si>
  <si>
    <t xml:space="preserve">Terrace sales (3 units)</t>
  </si>
  <si>
    <t xml:space="preserve">Parking / storage (37 units)</t>
  </si>
  <si>
    <t xml:space="preserve">CAPEX – Land acquisition</t>
  </si>
  <si>
    <t xml:space="preserve">CAPEX – Direct construction (structure + finishes)</t>
  </si>
  <si>
    <t xml:space="preserve">OPEX – Indirect construction costs</t>
  </si>
  <si>
    <t xml:space="preserve">OPEX – Fiduciary and administrative expenses</t>
  </si>
  <si>
    <t xml:space="preserve">OPEX – Financial costs + 4×1000 FTT</t>
  </si>
  <si>
    <t xml:space="preserve">OPEX – Fees, sales and marketing</t>
  </si>
  <si>
    <t xml:space="preserve">Note: short-cycle project (24 months) re-distributed over 2 years. The 4×1000 financial transaction tax is included in the project financial costs. Totals reconcile with the base model. FX applied: 4,200 COP/USD.</t>
  </si>
  <si>
    <t xml:space="preserve">CONSOLIDATED &amp; NET PROFIT</t>
  </si>
  <si>
    <t xml:space="preserve">Suba Himalaya + Santa Barbara · Gross profit, tax burden and net profit · Figures in USD · June 2026</t>
  </si>
  <si>
    <t xml:space="preserve">1.  CONSOLIDATED NET PROFIT (USD)</t>
  </si>
  <si>
    <t xml:space="preserve">Suba Himalaya</t>
  </si>
  <si>
    <t xml:space="preserve">Santa Barbara</t>
  </si>
  <si>
    <t xml:space="preserve">CONSOLIDATED</t>
  </si>
  <si>
    <t xml:space="preserve">Note</t>
  </si>
  <si>
    <t xml:space="preserve">Sales revenue</t>
  </si>
  <si>
    <t xml:space="preserve">Suba: 92 apt+110 park+18 terr · SB: 25 apt+3 terr</t>
  </si>
  <si>
    <t xml:space="preserve">(–) Total project costs</t>
  </si>
  <si>
    <t xml:space="preserve">Integrated CAPEX + OPEX</t>
  </si>
  <si>
    <t xml:space="preserve">GROSS PROFIT BEFORE TAX</t>
  </si>
  <si>
    <t xml:space="preserve">Revenue − costs</t>
  </si>
  <si>
    <t xml:space="preserve">(–) Project tax burden</t>
  </si>
  <si>
    <t xml:space="preserve">Income Tax + Withholding + ReteICA + ICA per project</t>
  </si>
  <si>
    <t xml:space="preserve">NET PROJECT PROFIT</t>
  </si>
  <si>
    <t xml:space="preserve">Final net profit per project and consolidated</t>
  </si>
  <si>
    <t xml:space="preserve">Net margin / sales</t>
  </si>
  <si>
    <t xml:space="preserve">Net profit / revenue</t>
  </si>
  <si>
    <t xml:space="preserve">ROI (net profit / costs)</t>
  </si>
  <si>
    <t xml:space="preserve">Return on total investment</t>
  </si>
  <si>
    <t xml:space="preserve">2.  CONSOLIDATED TAX BURDEN BREAKDOWN  (Income Tax · ICA · ReteICA · 4×1000 FTT)</t>
  </si>
  <si>
    <t xml:space="preserve">4×1000 FTT rate (4‰ on movements · editable)</t>
  </si>
  <si>
    <t xml:space="preserve">Applied on trust disbursements + collections</t>
  </si>
  <si>
    <t xml:space="preserve">Base / remark</t>
  </si>
  <si>
    <t xml:space="preserve">Art. 240 ET · 35% 2026</t>
  </si>
  <si>
    <t xml:space="preserve">Art. 401 ET · creditable advance</t>
  </si>
  <si>
    <t xml:space="preserve">Agreement 65/2002 Bogotá · advance</t>
  </si>
  <si>
    <t xml:space="preserve">Law 14/1983 · activity 4010</t>
  </si>
  <si>
    <t xml:space="preserve">4×1000 FTT (on financial movements)</t>
  </si>
  <si>
    <t xml:space="preserve">Art. 872 ET · 0.4% on collections + disbursements</t>
  </si>
  <si>
    <t xml:space="preserve">TOTAL TAX BURDEN (tax cash view)</t>
  </si>
  <si>
    <t xml:space="preserve">Includes advances (Withholding/ReteICA) and FTT</t>
  </si>
  <si>
    <t xml:space="preserve">CFO note: the Net Profit in Section 1 is obtained by subtracting from gross profit each project own tax burden (Income Tax + Withholding + ReteICA + ICA). Section 2 is an expanded tax-cash view adding the 4×1000 FTT on the trust movements; withholdings and ReteICA are creditable advances against income tax, not an additional definitive cost.</t>
  </si>
  <si>
    <t xml:space="preserve">CONSOLIDATED FINANCIAL MODEL — EXECUTIVE SUMMARY</t>
  </si>
  <si>
    <t xml:space="preserve">Suba Himalaya Project + Santa Barbara Project · Figures in USD · FX ref. $4,200 COP/USD · June 2026</t>
  </si>
  <si>
    <t xml:space="preserve">1.  PROJECT DESCRIPTION</t>
  </si>
  <si>
    <t xml:space="preserve">SUBA HIMALAYA: residential development in Bogotá with 92 apartments, 110 parking spaces with storage and 18 terraces, with a sellable area of 21,919 m². Model re-projected over 5 years (2027–2031) under Colombian IFRS (IAS 11 / IFRS 15).</t>
  </si>
  <si>
    <t xml:space="preserve">SANTA BARBARA: short-cycle project on 118th Street # 22A (Bogotá), 25 apartments and 3 duplex terraces, built area of 3,739 m². Model re-projected over 2 years (2027–2028) with a CAPEX/OPEX structure and a construction loan.</t>
  </si>
  <si>
    <t xml:space="preserve">2.  REVENUE AND RESULTS SUMMARY (USD)</t>
  </si>
  <si>
    <t xml:space="preserve">Consolidated</t>
  </si>
  <si>
    <t xml:space="preserve">Total projected revenue</t>
  </si>
  <si>
    <t xml:space="preserve">Total project costs</t>
  </si>
  <si>
    <t xml:space="preserve">Gross profit before tax</t>
  </si>
  <si>
    <t xml:space="preserve">Total tax burden</t>
  </si>
  <si>
    <t xml:space="preserve">NET PROFIT</t>
  </si>
  <si>
    <t xml:space="preserve">3.  IMPACT OF THE TAX BURDEN ON PROFITABILITY</t>
  </si>
  <si>
    <t xml:space="preserve">The consolidated tax burden (Income Tax 35%, Withholding Tax 1%, ReteICA and ICA 0.33%) amounts to ~USD 9.97 million, equivalent to 16.3% of total revenue and 39% of gross profit. Income Tax concentrates most of the burden (~USD 8.96 million). Suba Himalaya bears nearly all of the taxation due to its larger scale and margin, while Santa Barbara —with a 7.5% net margin— is far more sensitive to the tax burden and to the construction loan financial costs. The 4×1000 FTT on the trust movements (~USD 0.39 million) is an additional cash cost, partially deductible (50%, Art. 115 ET).</t>
  </si>
  <si>
    <t xml:space="preserve">4.  CONCLUSIONS ON FINANCIAL VIABILITY</t>
  </si>
  <si>
    <t xml:space="preserve">The consolidated portfolio is financially viable: it generates projected revenue of ~USD 60.99 million and a consolidated net profit of ~USD 15.62 million, with a 25.6% net margin and a ROI near 44%. Suba Himalaya is the profitability engine (28.0% net margin, 51.6% ROI) and justifies the investment on its own. Santa Barbara, although with a tighter margin (7.5%) and higher exposure to financial costs, adds diversification and short-cycle liquidity (2 years) that helps fund the remainder of the trust. Recommendation: prioritize early pre-sales in Suba to activate the trust, monitor Santa Barbara sensitivity to the loan cost (15.6% EAR), and optimize the deductibility of the FTT. The USD 25 million trust fund covers ~71% of the integrated cost; the balance is financed with pre-sales collections.</t>
  </si>
  <si>
    <t xml:space="preserve">Pre-feasibility document · Figures subject to update based on construction progress and tax adjustments · Prepared from the attached consolidated financial model.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</si>
</sst>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%"/>
    <numFmt numFmtId="167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entury Gothic"/>
      <family val="0"/>
      <charset val="1"/>
    </font>
    <font>
      <sz val="9"/>
      <color rgb="FFFFFFFF"/>
      <name val="Century Gothic"/>
      <family val="0"/>
      <charset val="1"/>
    </font>
    <font>
      <b val="true"/>
      <sz val="11"/>
      <color rgb="FFFFFFFF"/>
      <name val="Century Gothic"/>
      <family val="0"/>
      <charset val="1"/>
    </font>
    <font>
      <b val="true"/>
      <sz val="9"/>
      <color rgb="FFFFFFFF"/>
      <name val="Century Gothic"/>
      <family val="0"/>
      <charset val="1"/>
    </font>
    <font>
      <b val="true"/>
      <sz val="10"/>
      <color rgb="FF000000"/>
      <name val="Century Gothic"/>
      <family val="0"/>
      <charset val="1"/>
    </font>
    <font>
      <sz val="10"/>
      <color rgb="FF000000"/>
      <name val="Century Gothic"/>
      <family val="0"/>
      <charset val="1"/>
    </font>
    <font>
      <sz val="10"/>
      <color rgb="FF0000FF"/>
      <name val="Century Gothic"/>
      <family val="0"/>
      <charset val="1"/>
    </font>
    <font>
      <i val="true"/>
      <sz val="8"/>
      <color rgb="FF595959"/>
      <name val="Century Gothic"/>
      <family val="0"/>
      <charset val="1"/>
    </font>
    <font>
      <b val="true"/>
      <sz val="10"/>
      <color rgb="FF008000"/>
      <name val="Century Gothic"/>
      <family val="0"/>
      <charset val="1"/>
    </font>
    <font>
      <sz val="8"/>
      <color rgb="FF595959"/>
      <name val="Century Gothic"/>
      <family val="0"/>
      <charset val="1"/>
    </font>
    <font>
      <sz val="10"/>
      <color rgb="FF008000"/>
      <name val="Century Gothic"/>
      <family val="0"/>
      <charset val="1"/>
    </font>
    <font>
      <sz val="9"/>
      <color rgb="FF000000"/>
      <name val="Century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7" min="3" style="0" width="17"/>
    <col collapsed="false" customWidth="true" hidden="false" outlineLevel="0" max="8" min="8" style="0" width="19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s">
        <v>12</v>
      </c>
      <c r="C6" s="7" t="n">
        <v>0.15</v>
      </c>
      <c r="D6" s="7" t="n">
        <v>0.25</v>
      </c>
      <c r="E6" s="7" t="n">
        <v>0.3</v>
      </c>
      <c r="F6" s="7" t="n">
        <v>0.2</v>
      </c>
      <c r="G6" s="7" t="n">
        <v>0.1</v>
      </c>
      <c r="H6" s="8" t="n">
        <f aca="false">SUM(C6:G6)</f>
        <v>1</v>
      </c>
    </row>
    <row r="7" customFormat="false" ht="15" hidden="false" customHeight="false" outlineLevel="0" collapsed="false">
      <c r="A7" s="9" t="s">
        <v>13</v>
      </c>
      <c r="B7" s="10" t="n">
        <v>0.35</v>
      </c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11" t="s">
        <v>14</v>
      </c>
      <c r="B8" s="7" t="n">
        <v>0.01</v>
      </c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9" t="s">
        <v>15</v>
      </c>
      <c r="B9" s="12" t="n">
        <v>0.0033</v>
      </c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11" t="s">
        <v>16</v>
      </c>
      <c r="B10" s="13" t="n">
        <v>0.0033</v>
      </c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3" t="s">
        <v>17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</row>
    <row r="13" customFormat="false" ht="15" hidden="false" customHeight="false" outlineLevel="0" collapsed="false">
      <c r="A13" s="9" t="s">
        <v>18</v>
      </c>
      <c r="B13" s="14" t="n">
        <v>52189628.5714286</v>
      </c>
      <c r="C13" s="15" t="n">
        <f aca="false">$B13*C$6</f>
        <v>7828444.28571428</v>
      </c>
      <c r="D13" s="15" t="n">
        <f aca="false">$B13*D$6</f>
        <v>13047407.1428571</v>
      </c>
      <c r="E13" s="15" t="n">
        <f aca="false">$B13*E$6</f>
        <v>15656888.5714286</v>
      </c>
      <c r="F13" s="15" t="n">
        <f aca="false">$B13*F$6</f>
        <v>10437925.7142857</v>
      </c>
      <c r="G13" s="15" t="n">
        <f aca="false">$B13*G$6</f>
        <v>5218962.85714286</v>
      </c>
      <c r="H13" s="15" t="n">
        <f aca="false">SUM(C13:G13)</f>
        <v>52189628.5714286</v>
      </c>
    </row>
    <row r="14" customFormat="false" ht="15" hidden="false" customHeight="false" outlineLevel="0" collapsed="false">
      <c r="A14" s="11" t="s">
        <v>19</v>
      </c>
      <c r="B14" s="16" t="n">
        <v>1571428.57142857</v>
      </c>
      <c r="C14" s="17" t="n">
        <f aca="false">$B14*C$6</f>
        <v>235714.285714286</v>
      </c>
      <c r="D14" s="17" t="n">
        <f aca="false">$B14*D$6</f>
        <v>392857.142857143</v>
      </c>
      <c r="E14" s="17" t="n">
        <f aca="false">$B14*E$6</f>
        <v>471428.571428571</v>
      </c>
      <c r="F14" s="17" t="n">
        <f aca="false">$B14*F$6</f>
        <v>314285.714285714</v>
      </c>
      <c r="G14" s="17" t="n">
        <f aca="false">$B14*G$6</f>
        <v>157142.857142857</v>
      </c>
      <c r="H14" s="17" t="n">
        <f aca="false">SUM(C14:G14)</f>
        <v>1571428.57142857</v>
      </c>
    </row>
    <row r="15" customFormat="false" ht="15" hidden="false" customHeight="false" outlineLevel="0" collapsed="false">
      <c r="A15" s="9" t="s">
        <v>20</v>
      </c>
      <c r="B15" s="14" t="n">
        <v>17142.8571428571</v>
      </c>
      <c r="C15" s="15" t="n">
        <f aca="false">$B15*C$6</f>
        <v>2571.42857142857</v>
      </c>
      <c r="D15" s="15" t="n">
        <f aca="false">$B15*D$6</f>
        <v>4285.71428571429</v>
      </c>
      <c r="E15" s="15" t="n">
        <f aca="false">$B15*E$6</f>
        <v>5142.85714285714</v>
      </c>
      <c r="F15" s="15" t="n">
        <f aca="false">$B15*F$6</f>
        <v>3428.57142857143</v>
      </c>
      <c r="G15" s="15" t="n">
        <f aca="false">$B15*G$6</f>
        <v>1714.28571428571</v>
      </c>
      <c r="H15" s="15" t="n">
        <f aca="false">SUM(C15:G15)</f>
        <v>17142.8571428571</v>
      </c>
    </row>
    <row r="16" customFormat="false" ht="15" hidden="false" customHeight="false" outlineLevel="0" collapsed="false">
      <c r="A16" s="18" t="s">
        <v>21</v>
      </c>
      <c r="B16" s="19" t="n">
        <f aca="false">SUM(B13:B15)</f>
        <v>53778200</v>
      </c>
      <c r="C16" s="19" t="n">
        <f aca="false">SUM(C13:C15)</f>
        <v>8066730</v>
      </c>
      <c r="D16" s="19" t="n">
        <f aca="false">SUM(D13:D15)</f>
        <v>13444550</v>
      </c>
      <c r="E16" s="19" t="n">
        <f aca="false">SUM(E13:E15)</f>
        <v>16133460</v>
      </c>
      <c r="F16" s="19" t="n">
        <f aca="false">SUM(F13:F15)</f>
        <v>10755640</v>
      </c>
      <c r="G16" s="19" t="n">
        <f aca="false">SUM(G13:G15)</f>
        <v>5377820</v>
      </c>
      <c r="H16" s="19" t="n">
        <f aca="false">SUM(H13:H15)</f>
        <v>53778200</v>
      </c>
    </row>
    <row r="18" customFormat="false" ht="15" hidden="false" customHeight="false" outlineLevel="0" collapsed="false">
      <c r="A18" s="3" t="s">
        <v>22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</row>
    <row r="20" customFormat="false" ht="15" hidden="false" customHeight="false" outlineLevel="0" collapsed="false">
      <c r="A20" s="9" t="s">
        <v>23</v>
      </c>
      <c r="B20" s="14" t="n">
        <v>8071310.13571429</v>
      </c>
      <c r="C20" s="15" t="n">
        <f aca="false">$B20*C$6</f>
        <v>1210696.52035714</v>
      </c>
      <c r="D20" s="15" t="n">
        <f aca="false">$B20*D$6</f>
        <v>2017827.53392857</v>
      </c>
      <c r="E20" s="15" t="n">
        <f aca="false">$B20*E$6</f>
        <v>2421393.04071429</v>
      </c>
      <c r="F20" s="15" t="n">
        <f aca="false">$B20*F$6</f>
        <v>1614262.02714286</v>
      </c>
      <c r="G20" s="15" t="n">
        <f aca="false">$B20*G$6</f>
        <v>807131.013571429</v>
      </c>
      <c r="H20" s="15" t="n">
        <f aca="false">SUM(C20:G20)</f>
        <v>8071310.13571429</v>
      </c>
    </row>
    <row r="21" customFormat="false" ht="15" hidden="false" customHeight="false" outlineLevel="0" collapsed="false">
      <c r="A21" s="11" t="s">
        <v>24</v>
      </c>
      <c r="B21" s="16" t="n">
        <v>1311969.93380952</v>
      </c>
      <c r="C21" s="17" t="n">
        <f aca="false">$B21*C$6</f>
        <v>196795.490071429</v>
      </c>
      <c r="D21" s="17" t="n">
        <f aca="false">$B21*D$6</f>
        <v>327992.483452381</v>
      </c>
      <c r="E21" s="17" t="n">
        <f aca="false">$B21*E$6</f>
        <v>393590.980142857</v>
      </c>
      <c r="F21" s="17" t="n">
        <f aca="false">$B21*F$6</f>
        <v>262393.986761905</v>
      </c>
      <c r="G21" s="17" t="n">
        <f aca="false">$B21*G$6</f>
        <v>131196.993380952</v>
      </c>
      <c r="H21" s="17" t="n">
        <f aca="false">SUM(C21:G21)</f>
        <v>1311969.93380952</v>
      </c>
    </row>
    <row r="22" customFormat="false" ht="15" hidden="false" customHeight="false" outlineLevel="0" collapsed="false">
      <c r="A22" s="9" t="s">
        <v>25</v>
      </c>
      <c r="B22" s="14" t="n">
        <v>1006610.48976191</v>
      </c>
      <c r="C22" s="15" t="n">
        <f aca="false">$B22*C$6</f>
        <v>150991.573464286</v>
      </c>
      <c r="D22" s="15" t="n">
        <f aca="false">$B22*D$6</f>
        <v>251652.622440476</v>
      </c>
      <c r="E22" s="15" t="n">
        <f aca="false">$B22*E$6</f>
        <v>301983.146928572</v>
      </c>
      <c r="F22" s="15" t="n">
        <f aca="false">$B22*F$6</f>
        <v>201322.097952381</v>
      </c>
      <c r="G22" s="15" t="n">
        <f aca="false">$B22*G$6</f>
        <v>100661.048976191</v>
      </c>
      <c r="H22" s="15" t="n">
        <f aca="false">SUM(C22:G22)</f>
        <v>1006610.48976191</v>
      </c>
    </row>
    <row r="23" customFormat="false" ht="15" hidden="false" customHeight="false" outlineLevel="0" collapsed="false">
      <c r="A23" s="11" t="s">
        <v>26</v>
      </c>
      <c r="B23" s="16" t="n">
        <v>0</v>
      </c>
      <c r="C23" s="17" t="n">
        <f aca="false">$B23*C$6</f>
        <v>0</v>
      </c>
      <c r="D23" s="17" t="n">
        <f aca="false">$B23*D$6</f>
        <v>0</v>
      </c>
      <c r="E23" s="17" t="n">
        <f aca="false">$B23*E$6</f>
        <v>0</v>
      </c>
      <c r="F23" s="17" t="n">
        <f aca="false">$B23*F$6</f>
        <v>0</v>
      </c>
      <c r="G23" s="17" t="n">
        <f aca="false">$B23*G$6</f>
        <v>0</v>
      </c>
      <c r="H23" s="17" t="n">
        <f aca="false">SUM(C23:G23)</f>
        <v>0</v>
      </c>
    </row>
    <row r="24" customFormat="false" ht="15" hidden="false" customHeight="false" outlineLevel="0" collapsed="false">
      <c r="A24" s="9" t="s">
        <v>27</v>
      </c>
      <c r="B24" s="14" t="n">
        <v>5377820</v>
      </c>
      <c r="C24" s="15" t="n">
        <f aca="false">$B24*C$6</f>
        <v>806673</v>
      </c>
      <c r="D24" s="15" t="n">
        <f aca="false">$B24*D$6</f>
        <v>1344455</v>
      </c>
      <c r="E24" s="15" t="n">
        <f aca="false">$B24*E$6</f>
        <v>1613346</v>
      </c>
      <c r="F24" s="15" t="n">
        <f aca="false">$B24*F$6</f>
        <v>1075564</v>
      </c>
      <c r="G24" s="15" t="n">
        <f aca="false">$B24*G$6</f>
        <v>537782</v>
      </c>
      <c r="H24" s="15" t="n">
        <f aca="false">SUM(C24:G24)</f>
        <v>5377820</v>
      </c>
    </row>
    <row r="25" customFormat="false" ht="15" hidden="false" customHeight="false" outlineLevel="0" collapsed="false">
      <c r="A25" s="11" t="s">
        <v>28</v>
      </c>
      <c r="B25" s="16" t="n">
        <v>13444550</v>
      </c>
      <c r="C25" s="17" t="n">
        <f aca="false">$B25*C$6</f>
        <v>2016682.5</v>
      </c>
      <c r="D25" s="17" t="n">
        <f aca="false">$B25*D$6</f>
        <v>3361137.5</v>
      </c>
      <c r="E25" s="17" t="n">
        <f aca="false">$B25*E$6</f>
        <v>4033365</v>
      </c>
      <c r="F25" s="17" t="n">
        <f aca="false">$B25*F$6</f>
        <v>2688910</v>
      </c>
      <c r="G25" s="17" t="n">
        <f aca="false">$B25*G$6</f>
        <v>1344455</v>
      </c>
      <c r="H25" s="17" t="n">
        <f aca="false">SUM(C25:G25)</f>
        <v>13444550</v>
      </c>
    </row>
    <row r="26" customFormat="false" ht="15" hidden="false" customHeight="false" outlineLevel="0" collapsed="false">
      <c r="A26" s="18" t="s">
        <v>29</v>
      </c>
      <c r="B26" s="19" t="n">
        <f aca="false">SUM(B20:B25)</f>
        <v>29212260.5592857</v>
      </c>
      <c r="C26" s="19" t="n">
        <f aca="false">SUM(C20:C25)</f>
        <v>4381839.08389286</v>
      </c>
      <c r="D26" s="19" t="n">
        <f aca="false">SUM(D20:D25)</f>
        <v>7303065.13982143</v>
      </c>
      <c r="E26" s="19" t="n">
        <f aca="false">SUM(E20:E25)</f>
        <v>8763678.16778572</v>
      </c>
      <c r="F26" s="19" t="n">
        <f aca="false">SUM(F20:F25)</f>
        <v>5842452.11185714</v>
      </c>
      <c r="G26" s="19" t="n">
        <f aca="false">SUM(G20:G25)</f>
        <v>2921226.05592857</v>
      </c>
      <c r="H26" s="19" t="n">
        <f aca="false">SUM(H20:H25)</f>
        <v>29212260.5592857</v>
      </c>
    </row>
    <row r="28" customFormat="false" ht="15" hidden="false" customHeight="false" outlineLevel="0" collapsed="false">
      <c r="A28" s="3" t="s">
        <v>30</v>
      </c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20" t="s">
        <v>31</v>
      </c>
      <c r="B29" s="21" t="n">
        <f aca="false">B16-B26</f>
        <v>24565939.4407143</v>
      </c>
      <c r="C29" s="21" t="n">
        <f aca="false">C16-C26</f>
        <v>3684890.91610714</v>
      </c>
      <c r="D29" s="21" t="n">
        <f aca="false">D16-D26</f>
        <v>6141484.86017857</v>
      </c>
      <c r="E29" s="21" t="n">
        <f aca="false">E16-E26</f>
        <v>7369781.83221428</v>
      </c>
      <c r="F29" s="21" t="n">
        <f aca="false">F16-F26</f>
        <v>4913187.88814286</v>
      </c>
      <c r="G29" s="21" t="n">
        <f aca="false">G16-G26</f>
        <v>2456593.94407143</v>
      </c>
      <c r="H29" s="21" t="n">
        <f aca="false">SUM(C29:G29)</f>
        <v>24565939.4407143</v>
      </c>
    </row>
    <row r="31" customFormat="false" ht="15" hidden="false" customHeight="false" outlineLevel="0" collapsed="false">
      <c r="A31" s="3" t="s">
        <v>32</v>
      </c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4" t="s">
        <v>3</v>
      </c>
      <c r="B32" s="4" t="s">
        <v>4</v>
      </c>
      <c r="C32" s="4" t="s">
        <v>5</v>
      </c>
      <c r="D32" s="4" t="s">
        <v>6</v>
      </c>
      <c r="E32" s="4" t="s">
        <v>7</v>
      </c>
      <c r="F32" s="4" t="s">
        <v>8</v>
      </c>
      <c r="G32" s="4" t="s">
        <v>9</v>
      </c>
      <c r="H32" s="4" t="s">
        <v>10</v>
      </c>
    </row>
    <row r="33" customFormat="false" ht="15" hidden="false" customHeight="false" outlineLevel="0" collapsed="false">
      <c r="A33" s="9" t="s">
        <v>33</v>
      </c>
      <c r="B33" s="15" t="n">
        <f aca="false">$B$7*B29</f>
        <v>8598078.80425</v>
      </c>
      <c r="C33" s="15" t="n">
        <f aca="false">$B$7*C29</f>
        <v>1289711.8206375</v>
      </c>
      <c r="D33" s="15" t="n">
        <f aca="false">$B$7*D29</f>
        <v>2149519.7010625</v>
      </c>
      <c r="E33" s="15" t="n">
        <f aca="false">$B$7*E29</f>
        <v>2579423.641275</v>
      </c>
      <c r="F33" s="15" t="n">
        <f aca="false">$B$7*F29</f>
        <v>1719615.76085</v>
      </c>
      <c r="G33" s="15" t="n">
        <f aca="false">$B$7*G29</f>
        <v>859807.880425</v>
      </c>
      <c r="H33" s="15" t="n">
        <f aca="false">SUM(C33:G33)</f>
        <v>8598078.80425</v>
      </c>
    </row>
    <row r="34" customFormat="false" ht="15" hidden="false" customHeight="false" outlineLevel="0" collapsed="false">
      <c r="A34" s="11" t="s">
        <v>34</v>
      </c>
      <c r="B34" s="17" t="n">
        <f aca="false">$B$8*B16</f>
        <v>537782</v>
      </c>
      <c r="C34" s="17" t="n">
        <f aca="false">$B$8*C16</f>
        <v>80667.3</v>
      </c>
      <c r="D34" s="17" t="n">
        <f aca="false">$B$8*D16</f>
        <v>134445.5</v>
      </c>
      <c r="E34" s="17" t="n">
        <f aca="false">$B$8*E16</f>
        <v>161334.6</v>
      </c>
      <c r="F34" s="17" t="n">
        <f aca="false">$B$8*F16</f>
        <v>107556.4</v>
      </c>
      <c r="G34" s="17" t="n">
        <f aca="false">$B$8*G16</f>
        <v>53778.2</v>
      </c>
      <c r="H34" s="17" t="n">
        <f aca="false">SUM(C34:G34)</f>
        <v>537782</v>
      </c>
    </row>
    <row r="35" customFormat="false" ht="15" hidden="false" customHeight="false" outlineLevel="0" collapsed="false">
      <c r="A35" s="9" t="s">
        <v>35</v>
      </c>
      <c r="B35" s="15" t="n">
        <f aca="false">$B$9*B16</f>
        <v>177468.06</v>
      </c>
      <c r="C35" s="15" t="n">
        <f aca="false">$B$9*C16</f>
        <v>26620.209</v>
      </c>
      <c r="D35" s="15" t="n">
        <f aca="false">$B$9*D16</f>
        <v>44367.015</v>
      </c>
      <c r="E35" s="15" t="n">
        <f aca="false">$B$9*E16</f>
        <v>53240.418</v>
      </c>
      <c r="F35" s="15" t="n">
        <f aca="false">$B$9*F16</f>
        <v>35493.612</v>
      </c>
      <c r="G35" s="15" t="n">
        <f aca="false">$B$9*G16</f>
        <v>17746.806</v>
      </c>
      <c r="H35" s="15" t="n">
        <f aca="false">SUM(C35:G35)</f>
        <v>177468.06</v>
      </c>
    </row>
    <row r="36" customFormat="false" ht="15" hidden="false" customHeight="false" outlineLevel="0" collapsed="false">
      <c r="A36" s="11" t="s">
        <v>36</v>
      </c>
      <c r="B36" s="17" t="n">
        <f aca="false">$B$10*B16</f>
        <v>177468.06</v>
      </c>
      <c r="C36" s="17" t="n">
        <f aca="false">$B$10*C16</f>
        <v>26620.209</v>
      </c>
      <c r="D36" s="17" t="n">
        <f aca="false">$B$10*D16</f>
        <v>44367.015</v>
      </c>
      <c r="E36" s="17" t="n">
        <f aca="false">$B$10*E16</f>
        <v>53240.418</v>
      </c>
      <c r="F36" s="17" t="n">
        <f aca="false">$B$10*F16</f>
        <v>35493.612</v>
      </c>
      <c r="G36" s="17" t="n">
        <f aca="false">$B$10*G16</f>
        <v>17746.806</v>
      </c>
      <c r="H36" s="17" t="n">
        <f aca="false">SUM(C36:G36)</f>
        <v>177468.06</v>
      </c>
    </row>
    <row r="37" customFormat="false" ht="15" hidden="false" customHeight="false" outlineLevel="0" collapsed="false">
      <c r="A37" s="18" t="s">
        <v>37</v>
      </c>
      <c r="B37" s="19" t="n">
        <f aca="false">SUM(B33:B36)</f>
        <v>9490796.92425</v>
      </c>
      <c r="C37" s="19" t="n">
        <f aca="false">SUM(C33:C36)</f>
        <v>1423619.5386375</v>
      </c>
      <c r="D37" s="19" t="n">
        <f aca="false">SUM(D33:D36)</f>
        <v>2372699.2310625</v>
      </c>
      <c r="E37" s="19" t="n">
        <f aca="false">SUM(E33:E36)</f>
        <v>2847239.077275</v>
      </c>
      <c r="F37" s="19" t="n">
        <f aca="false">SUM(F33:F36)</f>
        <v>1898159.38485</v>
      </c>
      <c r="G37" s="19" t="n">
        <f aca="false">SUM(G33:G36)</f>
        <v>949079.692425</v>
      </c>
      <c r="H37" s="19" t="n">
        <f aca="false">SUM(H33:H36)</f>
        <v>9490796.92425</v>
      </c>
    </row>
    <row r="39" customFormat="false" ht="15" hidden="false" customHeight="false" outlineLevel="0" collapsed="false">
      <c r="A39" s="3" t="s">
        <v>38</v>
      </c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4" t="s">
        <v>3</v>
      </c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</row>
    <row r="41" customFormat="false" ht="15" hidden="false" customHeight="false" outlineLevel="0" collapsed="false">
      <c r="A41" s="22" t="s">
        <v>39</v>
      </c>
      <c r="B41" s="23" t="n">
        <f aca="false">B29-B37</f>
        <v>15075142.5164643</v>
      </c>
      <c r="C41" s="23" t="n">
        <f aca="false">C29-C37</f>
        <v>2261271.37746964</v>
      </c>
      <c r="D41" s="23" t="n">
        <f aca="false">D29-D37</f>
        <v>3768785.62911607</v>
      </c>
      <c r="E41" s="23" t="n">
        <f aca="false">E29-E37</f>
        <v>4522542.75493928</v>
      </c>
      <c r="F41" s="23" t="n">
        <f aca="false">F29-F37</f>
        <v>3015028.50329286</v>
      </c>
      <c r="G41" s="23" t="n">
        <f aca="false">G29-G37</f>
        <v>1507514.25164643</v>
      </c>
      <c r="H41" s="23" t="n">
        <f aca="false">SUM(C41:G41)</f>
        <v>15075142.5164643</v>
      </c>
    </row>
    <row r="42" customFormat="false" ht="15" hidden="false" customHeight="false" outlineLevel="0" collapsed="false">
      <c r="A42" s="11" t="s">
        <v>40</v>
      </c>
      <c r="B42" s="6" t="s">
        <v>12</v>
      </c>
      <c r="C42" s="17" t="n">
        <f aca="false">C41</f>
        <v>2261271.37746964</v>
      </c>
      <c r="D42" s="17" t="n">
        <f aca="false">C42+D41</f>
        <v>6030057.00658571</v>
      </c>
      <c r="E42" s="17" t="n">
        <f aca="false">D42+E41</f>
        <v>10552599.761525</v>
      </c>
      <c r="F42" s="17" t="n">
        <f aca="false">E42+F41</f>
        <v>13567628.2648179</v>
      </c>
      <c r="G42" s="17" t="n">
        <f aca="false">F42+G41</f>
        <v>15075142.5164643</v>
      </c>
      <c r="H42" s="17" t="n">
        <f aca="false">G42</f>
        <v>15075142.5164643</v>
      </c>
    </row>
    <row r="43" customFormat="false" ht="15" hidden="false" customHeight="false" outlineLevel="0" collapsed="false">
      <c r="A43" s="9" t="s">
        <v>41</v>
      </c>
      <c r="B43" s="24" t="s">
        <v>12</v>
      </c>
      <c r="C43" s="25" t="n">
        <f aca="false">IFERROR(C41/C16,0)</f>
        <v>0.280320697168449</v>
      </c>
      <c r="D43" s="25" t="n">
        <f aca="false">IFERROR(D41/D16,0)</f>
        <v>0.280320697168449</v>
      </c>
      <c r="E43" s="25" t="n">
        <f aca="false">IFERROR(E41/E16,0)</f>
        <v>0.280320697168449</v>
      </c>
      <c r="F43" s="25" t="n">
        <f aca="false">IFERROR(F41/F16,0)</f>
        <v>0.280320697168449</v>
      </c>
      <c r="G43" s="25" t="n">
        <f aca="false">IFERROR(G41/G16,0)</f>
        <v>0.280320697168449</v>
      </c>
      <c r="H43" s="26" t="n">
        <f aca="false">IFERROR(H41/H16,0)</f>
        <v>0.280320697168449</v>
      </c>
    </row>
    <row r="44" customFormat="false" ht="15" hidden="false" customHeight="false" outlineLevel="0" collapsed="false">
      <c r="A44" s="11" t="s">
        <v>42</v>
      </c>
      <c r="B44" s="6" t="s">
        <v>12</v>
      </c>
      <c r="C44" s="27" t="n">
        <f aca="false">IFERROR(C41/C26,0)</f>
        <v>0.516055321561629</v>
      </c>
      <c r="D44" s="27" t="n">
        <f aca="false">IFERROR(D41/D26,0)</f>
        <v>0.516055321561629</v>
      </c>
      <c r="E44" s="27" t="n">
        <f aca="false">IFERROR(E41/E26,0)</f>
        <v>0.516055321561629</v>
      </c>
      <c r="F44" s="27" t="n">
        <f aca="false">IFERROR(F41/F26,0)</f>
        <v>0.516055321561629</v>
      </c>
      <c r="G44" s="27" t="n">
        <f aca="false">IFERROR(G41/G26,0)</f>
        <v>0.516055321561629</v>
      </c>
      <c r="H44" s="8" t="n">
        <f aca="false">IFERROR(H41/H26,0)</f>
        <v>0.516055321561629</v>
      </c>
    </row>
    <row r="46" customFormat="false" ht="15" hidden="false" customHeight="true" outlineLevel="0" collapsed="false">
      <c r="A46" s="28" t="s">
        <v>43</v>
      </c>
      <c r="B46" s="28"/>
      <c r="C46" s="28"/>
      <c r="D46" s="28"/>
      <c r="E46" s="28"/>
      <c r="F46" s="28"/>
      <c r="G46" s="28"/>
      <c r="H46" s="28"/>
    </row>
    <row r="47" customFormat="false" ht="1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</row>
  </sheetData>
  <mergeCells count="9">
    <mergeCell ref="A1:H1"/>
    <mergeCell ref="A2:H2"/>
    <mergeCell ref="A4:H4"/>
    <mergeCell ref="A11:H11"/>
    <mergeCell ref="A18:H18"/>
    <mergeCell ref="A28:H28"/>
    <mergeCell ref="A31:H31"/>
    <mergeCell ref="A39:H39"/>
    <mergeCell ref="A46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4" min="3" style="0" width="19"/>
    <col collapsed="false" customWidth="true" hidden="false" outlineLevel="0" max="5" min="5" style="0" width="21"/>
  </cols>
  <sheetData>
    <row r="1" customFormat="false" ht="25.5" hidden="false" customHeight="true" outlineLevel="0" collapsed="false">
      <c r="A1" s="1" t="s">
        <v>44</v>
      </c>
      <c r="B1" s="1"/>
      <c r="C1" s="1"/>
      <c r="D1" s="1"/>
      <c r="E1" s="1"/>
    </row>
    <row r="2" customFormat="false" ht="18" hidden="false" customHeight="true" outlineLevel="0" collapsed="false">
      <c r="A2" s="2" t="s">
        <v>45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10</v>
      </c>
    </row>
    <row r="6" customFormat="false" ht="15" hidden="false" customHeight="false" outlineLevel="0" collapsed="false">
      <c r="A6" s="5" t="s">
        <v>11</v>
      </c>
      <c r="B6" s="6" t="s">
        <v>12</v>
      </c>
      <c r="C6" s="7" t="n">
        <v>0.45</v>
      </c>
      <c r="D6" s="7" t="n">
        <v>0.55</v>
      </c>
      <c r="E6" s="8" t="n">
        <f aca="false">SUM(C6:D6)</f>
        <v>1</v>
      </c>
    </row>
    <row r="7" customFormat="false" ht="15" hidden="false" customHeight="false" outlineLevel="0" collapsed="false">
      <c r="A7" s="9" t="s">
        <v>13</v>
      </c>
      <c r="B7" s="10" t="n">
        <v>0.35</v>
      </c>
      <c r="C7" s="9"/>
      <c r="D7" s="9"/>
      <c r="E7" s="9"/>
    </row>
    <row r="8" customFormat="false" ht="15" hidden="false" customHeight="false" outlineLevel="0" collapsed="false">
      <c r="A8" s="11" t="s">
        <v>14</v>
      </c>
      <c r="B8" s="7" t="n">
        <v>0.01</v>
      </c>
      <c r="C8" s="11"/>
      <c r="D8" s="11"/>
      <c r="E8" s="11"/>
    </row>
    <row r="9" customFormat="false" ht="15" hidden="false" customHeight="false" outlineLevel="0" collapsed="false">
      <c r="A9" s="9" t="s">
        <v>15</v>
      </c>
      <c r="B9" s="12" t="n">
        <v>0.0033</v>
      </c>
      <c r="C9" s="9"/>
      <c r="D9" s="9"/>
      <c r="E9" s="9"/>
    </row>
    <row r="10" customFormat="false" ht="15" hidden="false" customHeight="false" outlineLevel="0" collapsed="false">
      <c r="A10" s="11" t="s">
        <v>16</v>
      </c>
      <c r="B10" s="13" t="n">
        <v>0.0033</v>
      </c>
      <c r="C10" s="11"/>
      <c r="D10" s="11"/>
      <c r="E10" s="11"/>
    </row>
    <row r="11" customFormat="false" ht="15" hidden="false" customHeight="false" outlineLevel="0" collapsed="false">
      <c r="A11" s="3" t="s">
        <v>17</v>
      </c>
      <c r="B11" s="3"/>
      <c r="C11" s="3"/>
      <c r="D11" s="3"/>
      <c r="E11" s="3"/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10</v>
      </c>
    </row>
    <row r="13" customFormat="false" ht="15" hidden="false" customHeight="false" outlineLevel="0" collapsed="false">
      <c r="A13" s="9" t="s">
        <v>46</v>
      </c>
      <c r="B13" s="14" t="n">
        <v>7136232.14285714</v>
      </c>
      <c r="C13" s="15" t="n">
        <f aca="false">$B13*C$6</f>
        <v>3211304.46428571</v>
      </c>
      <c r="D13" s="15" t="n">
        <f aca="false">$B13*D$6</f>
        <v>3924927.67857143</v>
      </c>
      <c r="E13" s="15" t="n">
        <f aca="false">SUM(C13:D13)</f>
        <v>7136232.14285714</v>
      </c>
    </row>
    <row r="14" customFormat="false" ht="15" hidden="false" customHeight="false" outlineLevel="0" collapsed="false">
      <c r="A14" s="11" t="s">
        <v>47</v>
      </c>
      <c r="B14" s="16" t="n">
        <v>71809.6428571429</v>
      </c>
      <c r="C14" s="17" t="n">
        <f aca="false">$B14*C$6</f>
        <v>32314.3392857143</v>
      </c>
      <c r="D14" s="17" t="n">
        <f aca="false">$B14*D$6</f>
        <v>39495.3035714286</v>
      </c>
      <c r="E14" s="17" t="n">
        <f aca="false">SUM(C14:D14)</f>
        <v>71809.6428571429</v>
      </c>
    </row>
    <row r="15" customFormat="false" ht="15" hidden="false" customHeight="false" outlineLevel="0" collapsed="false">
      <c r="A15" s="9" t="s">
        <v>48</v>
      </c>
      <c r="B15" s="14" t="n">
        <v>0</v>
      </c>
      <c r="C15" s="15" t="n">
        <f aca="false">$B15*C$6</f>
        <v>0</v>
      </c>
      <c r="D15" s="15" t="n">
        <f aca="false">$B15*D$6</f>
        <v>0</v>
      </c>
      <c r="E15" s="15" t="n">
        <f aca="false">SUM(C15:D15)</f>
        <v>0</v>
      </c>
    </row>
    <row r="16" customFormat="false" ht="15" hidden="false" customHeight="false" outlineLevel="0" collapsed="false">
      <c r="A16" s="18" t="s">
        <v>21</v>
      </c>
      <c r="B16" s="19" t="n">
        <f aca="false">SUM(B13:B15)</f>
        <v>7208041.78571429</v>
      </c>
      <c r="C16" s="19" t="n">
        <f aca="false">SUM(C13:C15)</f>
        <v>3243618.80357143</v>
      </c>
      <c r="D16" s="19" t="n">
        <f aca="false">SUM(D13:D15)</f>
        <v>3964422.98214286</v>
      </c>
      <c r="E16" s="19" t="n">
        <f aca="false">SUM(E13:E15)</f>
        <v>7208041.78571429</v>
      </c>
    </row>
    <row r="18" customFormat="false" ht="15" hidden="false" customHeight="false" outlineLevel="0" collapsed="false">
      <c r="A18" s="3" t="s">
        <v>22</v>
      </c>
      <c r="B18" s="3"/>
      <c r="C18" s="3"/>
      <c r="D18" s="3"/>
      <c r="E18" s="3"/>
    </row>
    <row r="19" customFormat="false" ht="15" hidden="false" customHeight="false" outlineLevel="0" collapsed="false">
      <c r="A19" s="4" t="s">
        <v>3</v>
      </c>
      <c r="B19" s="4" t="s">
        <v>4</v>
      </c>
      <c r="C19" s="4" t="s">
        <v>5</v>
      </c>
      <c r="D19" s="4" t="s">
        <v>6</v>
      </c>
      <c r="E19" s="4" t="s">
        <v>10</v>
      </c>
    </row>
    <row r="20" customFormat="false" ht="15" hidden="false" customHeight="false" outlineLevel="0" collapsed="false">
      <c r="A20" s="9" t="s">
        <v>49</v>
      </c>
      <c r="B20" s="14" t="n">
        <v>1614282.76452381</v>
      </c>
      <c r="C20" s="15" t="n">
        <f aca="false">$B20*C$6</f>
        <v>726427.244035715</v>
      </c>
      <c r="D20" s="15" t="n">
        <f aca="false">$B20*D$6</f>
        <v>887855.520488096</v>
      </c>
      <c r="E20" s="15" t="n">
        <f aca="false">SUM(C20:D20)</f>
        <v>1614282.76452381</v>
      </c>
    </row>
    <row r="21" customFormat="false" ht="15" hidden="false" customHeight="false" outlineLevel="0" collapsed="false">
      <c r="A21" s="11" t="s">
        <v>50</v>
      </c>
      <c r="B21" s="16" t="n">
        <v>2923996.38309524</v>
      </c>
      <c r="C21" s="17" t="n">
        <f aca="false">$B21*C$6</f>
        <v>1315798.37239286</v>
      </c>
      <c r="D21" s="17" t="n">
        <f aca="false">$B21*D$6</f>
        <v>1608198.01070238</v>
      </c>
      <c r="E21" s="17" t="n">
        <f aca="false">SUM(C21:D21)</f>
        <v>2923996.38309524</v>
      </c>
    </row>
    <row r="22" customFormat="false" ht="15" hidden="false" customHeight="false" outlineLevel="0" collapsed="false">
      <c r="A22" s="9" t="s">
        <v>51</v>
      </c>
      <c r="B22" s="14" t="n">
        <v>438857.789285714</v>
      </c>
      <c r="C22" s="15" t="n">
        <f aca="false">$B22*C$6</f>
        <v>197486.005178571</v>
      </c>
      <c r="D22" s="15" t="n">
        <f aca="false">$B22*D$6</f>
        <v>241371.784107143</v>
      </c>
      <c r="E22" s="15" t="n">
        <f aca="false">SUM(C22:D22)</f>
        <v>438857.789285714</v>
      </c>
    </row>
    <row r="23" customFormat="false" ht="15" hidden="false" customHeight="false" outlineLevel="0" collapsed="false">
      <c r="A23" s="11" t="s">
        <v>52</v>
      </c>
      <c r="B23" s="16" t="n">
        <v>305620.971666667</v>
      </c>
      <c r="C23" s="17" t="n">
        <f aca="false">$B23*C$6</f>
        <v>137529.43725</v>
      </c>
      <c r="D23" s="17" t="n">
        <f aca="false">$B23*D$6</f>
        <v>168091.534416667</v>
      </c>
      <c r="E23" s="17" t="n">
        <f aca="false">SUM(C23:D23)</f>
        <v>305620.971666667</v>
      </c>
    </row>
    <row r="24" customFormat="false" ht="15" hidden="false" customHeight="false" outlineLevel="0" collapsed="false">
      <c r="A24" s="9" t="s">
        <v>53</v>
      </c>
      <c r="B24" s="14" t="n">
        <v>256188.221190476</v>
      </c>
      <c r="C24" s="15" t="n">
        <f aca="false">$B24*C$6</f>
        <v>115284.699535714</v>
      </c>
      <c r="D24" s="15" t="n">
        <f aca="false">$B24*D$6</f>
        <v>140903.521654762</v>
      </c>
      <c r="E24" s="15" t="n">
        <f aca="false">SUM(C24:D24)</f>
        <v>256188.221190476</v>
      </c>
    </row>
    <row r="25" customFormat="false" ht="15" hidden="false" customHeight="false" outlineLevel="0" collapsed="false">
      <c r="A25" s="11" t="s">
        <v>54</v>
      </c>
      <c r="B25" s="16" t="n">
        <v>648723.760714286</v>
      </c>
      <c r="C25" s="17" t="n">
        <f aca="false">$B25*C$6</f>
        <v>291925.692321429</v>
      </c>
      <c r="D25" s="17" t="n">
        <f aca="false">$B25*D$6</f>
        <v>356798.068392857</v>
      </c>
      <c r="E25" s="17" t="n">
        <f aca="false">SUM(C25:D25)</f>
        <v>648723.760714286</v>
      </c>
    </row>
    <row r="26" customFormat="false" ht="15" hidden="false" customHeight="false" outlineLevel="0" collapsed="false">
      <c r="A26" s="18" t="s">
        <v>29</v>
      </c>
      <c r="B26" s="19" t="n">
        <f aca="false">SUM(B20:B25)</f>
        <v>6187669.89047619</v>
      </c>
      <c r="C26" s="19" t="n">
        <f aca="false">SUM(C20:C25)</f>
        <v>2784451.45071429</v>
      </c>
      <c r="D26" s="19" t="n">
        <f aca="false">SUM(D20:D25)</f>
        <v>3403218.43976191</v>
      </c>
      <c r="E26" s="19" t="n">
        <f aca="false">SUM(E20:E25)</f>
        <v>6187669.89047619</v>
      </c>
    </row>
    <row r="28" customFormat="false" ht="15" hidden="false" customHeight="false" outlineLevel="0" collapsed="false">
      <c r="A28" s="3" t="s">
        <v>30</v>
      </c>
      <c r="B28" s="3"/>
      <c r="C28" s="3"/>
      <c r="D28" s="3"/>
      <c r="E28" s="3"/>
    </row>
    <row r="29" customFormat="false" ht="15" hidden="false" customHeight="false" outlineLevel="0" collapsed="false">
      <c r="A29" s="20" t="s">
        <v>31</v>
      </c>
      <c r="B29" s="21" t="n">
        <f aca="false">B16-B26</f>
        <v>1020371.8952381</v>
      </c>
      <c r="C29" s="21" t="n">
        <f aca="false">C16-C26</f>
        <v>459167.352857142</v>
      </c>
      <c r="D29" s="21" t="n">
        <f aca="false">D16-D26</f>
        <v>561204.542380952</v>
      </c>
      <c r="E29" s="21" t="n">
        <f aca="false">SUM(C29:D29)</f>
        <v>1020371.89523809</v>
      </c>
    </row>
    <row r="31" customFormat="false" ht="15" hidden="false" customHeight="false" outlineLevel="0" collapsed="false">
      <c r="A31" s="3" t="s">
        <v>32</v>
      </c>
      <c r="B31" s="3"/>
      <c r="C31" s="3"/>
      <c r="D31" s="3"/>
      <c r="E31" s="3"/>
    </row>
    <row r="32" customFormat="false" ht="15" hidden="false" customHeight="false" outlineLevel="0" collapsed="false">
      <c r="A32" s="4" t="s">
        <v>3</v>
      </c>
      <c r="B32" s="4" t="s">
        <v>4</v>
      </c>
      <c r="C32" s="4" t="s">
        <v>5</v>
      </c>
      <c r="D32" s="4" t="s">
        <v>6</v>
      </c>
      <c r="E32" s="4" t="s">
        <v>10</v>
      </c>
    </row>
    <row r="33" customFormat="false" ht="15" hidden="false" customHeight="false" outlineLevel="0" collapsed="false">
      <c r="A33" s="9" t="s">
        <v>33</v>
      </c>
      <c r="B33" s="15" t="n">
        <f aca="false">$B$7*B29</f>
        <v>357130.163333333</v>
      </c>
      <c r="C33" s="15" t="n">
        <f aca="false">$B$7*C29</f>
        <v>160708.5735</v>
      </c>
      <c r="D33" s="15" t="n">
        <f aca="false">$B$7*D29</f>
        <v>196421.589833333</v>
      </c>
      <c r="E33" s="15" t="n">
        <f aca="false">SUM(C33:D33)</f>
        <v>357130.163333333</v>
      </c>
    </row>
    <row r="34" customFormat="false" ht="15" hidden="false" customHeight="false" outlineLevel="0" collapsed="false">
      <c r="A34" s="11" t="s">
        <v>34</v>
      </c>
      <c r="B34" s="17" t="n">
        <f aca="false">$B$8*B16</f>
        <v>72080.4178571429</v>
      </c>
      <c r="C34" s="17" t="n">
        <f aca="false">$B$8*C16</f>
        <v>32436.1880357143</v>
      </c>
      <c r="D34" s="17" t="n">
        <f aca="false">$B$8*D16</f>
        <v>39644.2298214286</v>
      </c>
      <c r="E34" s="17" t="n">
        <f aca="false">SUM(C34:D34)</f>
        <v>72080.4178571429</v>
      </c>
    </row>
    <row r="35" customFormat="false" ht="15" hidden="false" customHeight="false" outlineLevel="0" collapsed="false">
      <c r="A35" s="9" t="s">
        <v>35</v>
      </c>
      <c r="B35" s="15" t="n">
        <f aca="false">$B$9*B16</f>
        <v>23786.5378928571</v>
      </c>
      <c r="C35" s="15" t="n">
        <f aca="false">$B$9*C16</f>
        <v>10703.9420517857</v>
      </c>
      <c r="D35" s="15" t="n">
        <f aca="false">$B$9*D16</f>
        <v>13082.5958410714</v>
      </c>
      <c r="E35" s="15" t="n">
        <f aca="false">SUM(C35:D35)</f>
        <v>23786.5378928571</v>
      </c>
    </row>
    <row r="36" customFormat="false" ht="15" hidden="false" customHeight="false" outlineLevel="0" collapsed="false">
      <c r="A36" s="11" t="s">
        <v>36</v>
      </c>
      <c r="B36" s="17" t="n">
        <f aca="false">$B$10*B16</f>
        <v>23786.5378928571</v>
      </c>
      <c r="C36" s="17" t="n">
        <f aca="false">$B$10*C16</f>
        <v>10703.9420517857</v>
      </c>
      <c r="D36" s="17" t="n">
        <f aca="false">$B$10*D16</f>
        <v>13082.5958410714</v>
      </c>
      <c r="E36" s="17" t="n">
        <f aca="false">SUM(C36:D36)</f>
        <v>23786.5378928571</v>
      </c>
    </row>
    <row r="37" customFormat="false" ht="15" hidden="false" customHeight="false" outlineLevel="0" collapsed="false">
      <c r="A37" s="18" t="s">
        <v>37</v>
      </c>
      <c r="B37" s="19" t="n">
        <f aca="false">SUM(B33:B36)</f>
        <v>476783.65697619</v>
      </c>
      <c r="C37" s="19" t="n">
        <f aca="false">SUM(C33:C36)</f>
        <v>214552.645639285</v>
      </c>
      <c r="D37" s="19" t="n">
        <f aca="false">SUM(D33:D36)</f>
        <v>262231.011336905</v>
      </c>
      <c r="E37" s="19" t="n">
        <f aca="false">SUM(E33:E36)</f>
        <v>476783.65697619</v>
      </c>
    </row>
    <row r="39" customFormat="false" ht="15" hidden="false" customHeight="false" outlineLevel="0" collapsed="false">
      <c r="A39" s="3" t="s">
        <v>38</v>
      </c>
      <c r="B39" s="3"/>
      <c r="C39" s="3"/>
      <c r="D39" s="3"/>
      <c r="E39" s="3"/>
    </row>
    <row r="40" customFormat="false" ht="15" hidden="false" customHeight="false" outlineLevel="0" collapsed="false">
      <c r="A40" s="4" t="s">
        <v>3</v>
      </c>
      <c r="B40" s="4" t="s">
        <v>4</v>
      </c>
      <c r="C40" s="4" t="s">
        <v>5</v>
      </c>
      <c r="D40" s="4" t="s">
        <v>6</v>
      </c>
      <c r="E40" s="4" t="s">
        <v>10</v>
      </c>
    </row>
    <row r="41" customFormat="false" ht="15" hidden="false" customHeight="false" outlineLevel="0" collapsed="false">
      <c r="A41" s="22" t="s">
        <v>39</v>
      </c>
      <c r="B41" s="23" t="n">
        <f aca="false">B29-B37</f>
        <v>543588.238261905</v>
      </c>
      <c r="C41" s="23" t="n">
        <f aca="false">C29-C37</f>
        <v>244614.707217857</v>
      </c>
      <c r="D41" s="23" t="n">
        <f aca="false">D29-D37</f>
        <v>298973.531044048</v>
      </c>
      <c r="E41" s="23" t="n">
        <f aca="false">SUM(C41:D41)</f>
        <v>543588.238261904</v>
      </c>
    </row>
    <row r="42" customFormat="false" ht="15" hidden="false" customHeight="false" outlineLevel="0" collapsed="false">
      <c r="A42" s="11" t="s">
        <v>40</v>
      </c>
      <c r="B42" s="6" t="s">
        <v>12</v>
      </c>
      <c r="C42" s="17" t="n">
        <f aca="false">C41</f>
        <v>244614.707217857</v>
      </c>
      <c r="D42" s="17" t="n">
        <f aca="false">C42+D41</f>
        <v>543588.238261904</v>
      </c>
      <c r="E42" s="17" t="n">
        <f aca="false">D42</f>
        <v>543588.238261904</v>
      </c>
    </row>
    <row r="43" customFormat="false" ht="15" hidden="false" customHeight="false" outlineLevel="0" collapsed="false">
      <c r="A43" s="9" t="s">
        <v>41</v>
      </c>
      <c r="B43" s="24" t="s">
        <v>12</v>
      </c>
      <c r="C43" s="25" t="n">
        <f aca="false">IFERROR(C41/C16,0)</f>
        <v>0.07541413527031</v>
      </c>
      <c r="D43" s="25" t="n">
        <f aca="false">IFERROR(D41/D16,0)</f>
        <v>0.0754141352703101</v>
      </c>
      <c r="E43" s="26" t="n">
        <f aca="false">IFERROR(E41/E16,0)</f>
        <v>0.0754141352703101</v>
      </c>
    </row>
    <row r="44" customFormat="false" ht="15" hidden="false" customHeight="false" outlineLevel="0" collapsed="false">
      <c r="A44" s="11" t="s">
        <v>42</v>
      </c>
      <c r="B44" s="6" t="s">
        <v>12</v>
      </c>
      <c r="C44" s="27" t="n">
        <f aca="false">IFERROR(C41/C26,0)</f>
        <v>0.0878502324596489</v>
      </c>
      <c r="D44" s="27" t="n">
        <f aca="false">IFERROR(D41/D26,0)</f>
        <v>0.0878502324596491</v>
      </c>
      <c r="E44" s="8" t="n">
        <f aca="false">IFERROR(E41/E26,0)</f>
        <v>0.087850232459649</v>
      </c>
    </row>
    <row r="46" customFormat="false" ht="15" hidden="false" customHeight="true" outlineLevel="0" collapsed="false">
      <c r="A46" s="28" t="s">
        <v>55</v>
      </c>
      <c r="B46" s="28"/>
      <c r="C46" s="28"/>
      <c r="D46" s="28"/>
      <c r="E46" s="28"/>
    </row>
    <row r="47" customFormat="false" ht="15" hidden="false" customHeight="false" outlineLevel="0" collapsed="false">
      <c r="A47" s="28"/>
      <c r="B47" s="28"/>
      <c r="C47" s="28"/>
      <c r="D47" s="28"/>
      <c r="E47" s="28"/>
    </row>
  </sheetData>
  <mergeCells count="9">
    <mergeCell ref="A1:E1"/>
    <mergeCell ref="A2:E2"/>
    <mergeCell ref="A4:E4"/>
    <mergeCell ref="A11:E11"/>
    <mergeCell ref="A18:E18"/>
    <mergeCell ref="A28:E28"/>
    <mergeCell ref="A31:E31"/>
    <mergeCell ref="A39:E39"/>
    <mergeCell ref="A46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1"/>
    <col collapsed="false" customWidth="true" hidden="false" outlineLevel="0" max="4" min="4" style="0" width="23"/>
    <col collapsed="false" customWidth="true" hidden="false" outlineLevel="0" max="5" min="5" style="0" width="34"/>
  </cols>
  <sheetData>
    <row r="1" customFormat="false" ht="25.5" hidden="false" customHeight="true" outlineLevel="0" collapsed="false">
      <c r="A1" s="1" t="s">
        <v>56</v>
      </c>
      <c r="B1" s="1"/>
      <c r="C1" s="1"/>
      <c r="D1" s="1"/>
      <c r="E1" s="1"/>
    </row>
    <row r="2" customFormat="false" ht="18" hidden="false" customHeight="true" outlineLevel="0" collapsed="false">
      <c r="A2" s="2" t="s">
        <v>57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58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59</v>
      </c>
      <c r="C5" s="4" t="s">
        <v>60</v>
      </c>
      <c r="D5" s="4" t="s">
        <v>61</v>
      </c>
      <c r="E5" s="4" t="s">
        <v>62</v>
      </c>
    </row>
    <row r="6" customFormat="false" ht="15" hidden="false" customHeight="false" outlineLevel="0" collapsed="false">
      <c r="A6" s="5" t="s">
        <v>63</v>
      </c>
      <c r="B6" s="29" t="n">
        <f aca="false">'1. Suba Himalaya'!H16</f>
        <v>53778200</v>
      </c>
      <c r="C6" s="29" t="n">
        <f aca="false">'2. Santa Barbara'!E16</f>
        <v>7208041.78571429</v>
      </c>
      <c r="D6" s="30" t="n">
        <f aca="false">B6+C6</f>
        <v>60986241.7857143</v>
      </c>
      <c r="E6" s="31" t="s">
        <v>64</v>
      </c>
    </row>
    <row r="7" customFormat="false" ht="15" hidden="false" customHeight="false" outlineLevel="0" collapsed="false">
      <c r="A7" s="9" t="s">
        <v>65</v>
      </c>
      <c r="B7" s="32" t="n">
        <f aca="false">'1. Suba Himalaya'!H26</f>
        <v>29212260.5592857</v>
      </c>
      <c r="C7" s="32" t="n">
        <f aca="false">'2. Santa Barbara'!E26</f>
        <v>6187669.89047619</v>
      </c>
      <c r="D7" s="33" t="n">
        <f aca="false">B7+C7</f>
        <v>35399930.4497619</v>
      </c>
      <c r="E7" s="34" t="s">
        <v>66</v>
      </c>
    </row>
    <row r="8" customFormat="false" ht="15" hidden="false" customHeight="false" outlineLevel="0" collapsed="false">
      <c r="A8" s="20" t="s">
        <v>67</v>
      </c>
      <c r="B8" s="21" t="n">
        <f aca="false">B6-B7</f>
        <v>24565939.4407143</v>
      </c>
      <c r="C8" s="21" t="n">
        <f aca="false">C6-C7</f>
        <v>1020371.89523809</v>
      </c>
      <c r="D8" s="21" t="n">
        <f aca="false">D6-D7</f>
        <v>25586311.3359524</v>
      </c>
      <c r="E8" s="35" t="s">
        <v>68</v>
      </c>
    </row>
    <row r="9" customFormat="false" ht="15" hidden="false" customHeight="false" outlineLevel="0" collapsed="false">
      <c r="A9" s="9" t="s">
        <v>69</v>
      </c>
      <c r="B9" s="32" t="n">
        <f aca="false">'1. Suba Himalaya'!H37</f>
        <v>9490796.92425</v>
      </c>
      <c r="C9" s="32" t="n">
        <f aca="false">'2. Santa Barbara'!E37</f>
        <v>476783.65697619</v>
      </c>
      <c r="D9" s="33" t="n">
        <f aca="false">B9+C9</f>
        <v>9967580.58122619</v>
      </c>
      <c r="E9" s="34" t="s">
        <v>70</v>
      </c>
    </row>
    <row r="10" customFormat="false" ht="15" hidden="false" customHeight="false" outlineLevel="0" collapsed="false">
      <c r="A10" s="22" t="s">
        <v>71</v>
      </c>
      <c r="B10" s="23" t="n">
        <f aca="false">B8-B9</f>
        <v>15075142.5164643</v>
      </c>
      <c r="C10" s="23" t="n">
        <f aca="false">C8-C9</f>
        <v>543588.238261904</v>
      </c>
      <c r="D10" s="23" t="n">
        <f aca="false">D8-D9</f>
        <v>15618730.7547262</v>
      </c>
      <c r="E10" s="36" t="s">
        <v>72</v>
      </c>
    </row>
    <row r="11" customFormat="false" ht="15" hidden="false" customHeight="false" outlineLevel="0" collapsed="false">
      <c r="A11" s="11" t="s">
        <v>73</v>
      </c>
      <c r="B11" s="27" t="n">
        <f aca="false">IFERROR(B10/B6,0)</f>
        <v>0.280320697168449</v>
      </c>
      <c r="C11" s="27" t="n">
        <f aca="false">IFERROR(C10/C6,0)</f>
        <v>0.07541413527031</v>
      </c>
      <c r="D11" s="27" t="n">
        <f aca="false">IFERROR(D10/D6,0)</f>
        <v>0.256102528986871</v>
      </c>
      <c r="E11" s="31" t="s">
        <v>74</v>
      </c>
    </row>
    <row r="12" customFormat="false" ht="15" hidden="false" customHeight="false" outlineLevel="0" collapsed="false">
      <c r="A12" s="9" t="s">
        <v>75</v>
      </c>
      <c r="B12" s="25" t="n">
        <f aca="false">IFERROR(B10/B7,0)</f>
        <v>0.516055321561629</v>
      </c>
      <c r="C12" s="25" t="n">
        <f aca="false">IFERROR(C10/C7,0)</f>
        <v>0.0878502324596489</v>
      </c>
      <c r="D12" s="25" t="n">
        <f aca="false">IFERROR(D10/D7,0)</f>
        <v>0.441207950306333</v>
      </c>
      <c r="E12" s="34" t="s">
        <v>76</v>
      </c>
    </row>
    <row r="14" customFormat="false" ht="15" hidden="false" customHeight="false" outlineLevel="0" collapsed="false">
      <c r="A14" s="3" t="s">
        <v>77</v>
      </c>
      <c r="B14" s="3"/>
      <c r="C14" s="3"/>
      <c r="D14" s="3"/>
      <c r="E14" s="3"/>
    </row>
    <row r="15" customFormat="false" ht="15" hidden="false" customHeight="false" outlineLevel="0" collapsed="false">
      <c r="A15" s="9" t="s">
        <v>78</v>
      </c>
      <c r="B15" s="9"/>
      <c r="C15" s="9"/>
      <c r="D15" s="12" t="n">
        <v>0.004</v>
      </c>
      <c r="E15" s="34" t="s">
        <v>79</v>
      </c>
    </row>
    <row r="16" customFormat="false" ht="15" hidden="false" customHeight="false" outlineLevel="0" collapsed="false">
      <c r="A16" s="4" t="s">
        <v>3</v>
      </c>
      <c r="B16" s="4" t="s">
        <v>59</v>
      </c>
      <c r="C16" s="4" t="s">
        <v>60</v>
      </c>
      <c r="D16" s="4" t="s">
        <v>61</v>
      </c>
      <c r="E16" s="4" t="s">
        <v>80</v>
      </c>
    </row>
    <row r="17" customFormat="false" ht="15" hidden="false" customHeight="false" outlineLevel="0" collapsed="false">
      <c r="A17" s="9" t="s">
        <v>33</v>
      </c>
      <c r="B17" s="32" t="n">
        <f aca="false">'1. Suba Himalaya'!H33</f>
        <v>8598078.80425</v>
      </c>
      <c r="C17" s="32" t="n">
        <f aca="false">'2. Santa Barbara'!E33</f>
        <v>357130.163333333</v>
      </c>
      <c r="D17" s="33" t="n">
        <f aca="false">B17+C17</f>
        <v>8955208.96758333</v>
      </c>
      <c r="E17" s="34" t="s">
        <v>81</v>
      </c>
    </row>
    <row r="18" customFormat="false" ht="15" hidden="false" customHeight="false" outlineLevel="0" collapsed="false">
      <c r="A18" s="11" t="s">
        <v>34</v>
      </c>
      <c r="B18" s="37" t="n">
        <f aca="false">'1. Suba Himalaya'!H34</f>
        <v>537782</v>
      </c>
      <c r="C18" s="37" t="n">
        <f aca="false">'2. Santa Barbara'!E34</f>
        <v>72080.4178571429</v>
      </c>
      <c r="D18" s="30" t="n">
        <f aca="false">B18+C18</f>
        <v>609862.417857143</v>
      </c>
      <c r="E18" s="31" t="s">
        <v>82</v>
      </c>
    </row>
    <row r="19" customFormat="false" ht="15" hidden="false" customHeight="false" outlineLevel="0" collapsed="false">
      <c r="A19" s="9" t="s">
        <v>35</v>
      </c>
      <c r="B19" s="32" t="n">
        <f aca="false">'1. Suba Himalaya'!H35</f>
        <v>177468.06</v>
      </c>
      <c r="C19" s="32" t="n">
        <f aca="false">'2. Santa Barbara'!E35</f>
        <v>23786.5378928571</v>
      </c>
      <c r="D19" s="33" t="n">
        <f aca="false">B19+C19</f>
        <v>201254.597892857</v>
      </c>
      <c r="E19" s="34" t="s">
        <v>83</v>
      </c>
    </row>
    <row r="20" customFormat="false" ht="15" hidden="false" customHeight="false" outlineLevel="0" collapsed="false">
      <c r="A20" s="11" t="s">
        <v>36</v>
      </c>
      <c r="B20" s="37" t="n">
        <f aca="false">'1. Suba Himalaya'!H36</f>
        <v>177468.06</v>
      </c>
      <c r="C20" s="37" t="n">
        <f aca="false">'2. Santa Barbara'!E36</f>
        <v>23786.5378928571</v>
      </c>
      <c r="D20" s="30" t="n">
        <f aca="false">B20+C20</f>
        <v>201254.597892857</v>
      </c>
      <c r="E20" s="31" t="s">
        <v>84</v>
      </c>
    </row>
    <row r="21" customFormat="false" ht="15" hidden="false" customHeight="false" outlineLevel="0" collapsed="false">
      <c r="A21" s="11" t="s">
        <v>85</v>
      </c>
      <c r="B21" s="6" t="s">
        <v>12</v>
      </c>
      <c r="C21" s="6" t="s">
        <v>12</v>
      </c>
      <c r="D21" s="30" t="n">
        <f aca="false">$D$15*(D6+D7)</f>
        <v>385544.688941905</v>
      </c>
      <c r="E21" s="31" t="s">
        <v>86</v>
      </c>
    </row>
    <row r="22" customFormat="false" ht="15" hidden="false" customHeight="false" outlineLevel="0" collapsed="false">
      <c r="A22" s="18" t="s">
        <v>87</v>
      </c>
      <c r="B22" s="19" t="n">
        <f aca="false">SUM(B17:B20)</f>
        <v>9490796.92425</v>
      </c>
      <c r="C22" s="19" t="n">
        <f aca="false">SUM(C17:C20)</f>
        <v>476783.65697619</v>
      </c>
      <c r="D22" s="19" t="n">
        <f aca="false">SUM(D17:D21)</f>
        <v>10353125.2701681</v>
      </c>
      <c r="E22" s="38" t="s">
        <v>88</v>
      </c>
    </row>
    <row r="24" customFormat="false" ht="15" hidden="false" customHeight="true" outlineLevel="0" collapsed="false">
      <c r="A24" s="28" t="s">
        <v>89</v>
      </c>
      <c r="B24" s="28"/>
      <c r="C24" s="28"/>
      <c r="D24" s="28"/>
      <c r="E24" s="28"/>
    </row>
    <row r="25" customFormat="false" ht="15" hidden="false" customHeight="false" outlineLevel="0" collapsed="false">
      <c r="A25" s="28"/>
      <c r="B25" s="28"/>
      <c r="C25" s="28"/>
      <c r="D25" s="28"/>
      <c r="E25" s="28"/>
    </row>
    <row r="26" customFormat="false" ht="15" hidden="false" customHeight="false" outlineLevel="0" collapsed="false">
      <c r="A26" s="28"/>
      <c r="B26" s="28"/>
      <c r="C26" s="28"/>
      <c r="D26" s="28"/>
      <c r="E26" s="28"/>
    </row>
  </sheetData>
  <mergeCells count="5">
    <mergeCell ref="A1:E1"/>
    <mergeCell ref="A2:E2"/>
    <mergeCell ref="A4:E4"/>
    <mergeCell ref="A14:E14"/>
    <mergeCell ref="A24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90</v>
      </c>
      <c r="B1" s="1"/>
      <c r="C1" s="1"/>
      <c r="D1" s="1"/>
    </row>
    <row r="2" customFormat="false" ht="18" hidden="false" customHeight="true" outlineLevel="0" collapsed="false">
      <c r="A2" s="2" t="s">
        <v>91</v>
      </c>
      <c r="B2" s="2"/>
      <c r="C2" s="2"/>
      <c r="D2" s="2"/>
    </row>
    <row r="4" customFormat="false" ht="15" hidden="false" customHeight="false" outlineLevel="0" collapsed="false">
      <c r="A4" s="3" t="s">
        <v>92</v>
      </c>
      <c r="B4" s="3"/>
      <c r="C4" s="3"/>
      <c r="D4" s="3"/>
    </row>
    <row r="5" customFormat="false" ht="15" hidden="false" customHeight="true" outlineLevel="0" collapsed="false">
      <c r="A5" s="39" t="s">
        <v>93</v>
      </c>
      <c r="B5" s="39"/>
      <c r="C5" s="39"/>
      <c r="D5" s="39"/>
    </row>
    <row r="6" customFormat="false" ht="15" hidden="false" customHeight="false" outlineLevel="0" collapsed="false">
      <c r="A6" s="39"/>
      <c r="B6" s="39"/>
      <c r="C6" s="39"/>
      <c r="D6" s="39"/>
    </row>
    <row r="7" customFormat="false" ht="15" hidden="false" customHeight="true" outlineLevel="0" collapsed="false">
      <c r="A7" s="39" t="s">
        <v>94</v>
      </c>
      <c r="B7" s="39"/>
      <c r="C7" s="39"/>
      <c r="D7" s="39"/>
    </row>
    <row r="8" customFormat="false" ht="15" hidden="false" customHeight="false" outlineLevel="0" collapsed="false">
      <c r="A8" s="39"/>
      <c r="B8" s="39"/>
      <c r="C8" s="39"/>
      <c r="D8" s="39"/>
    </row>
    <row r="10" customFormat="false" ht="15" hidden="false" customHeight="false" outlineLevel="0" collapsed="false">
      <c r="A10" s="3" t="s">
        <v>95</v>
      </c>
      <c r="B10" s="3"/>
      <c r="C10" s="3"/>
      <c r="D10" s="3"/>
    </row>
    <row r="11" customFormat="false" ht="15" hidden="false" customHeight="false" outlineLevel="0" collapsed="false">
      <c r="A11" s="4" t="s">
        <v>3</v>
      </c>
      <c r="B11" s="4" t="s">
        <v>59</v>
      </c>
      <c r="C11" s="4" t="s">
        <v>60</v>
      </c>
      <c r="D11" s="4" t="s">
        <v>96</v>
      </c>
    </row>
    <row r="12" customFormat="false" ht="15" hidden="false" customHeight="false" outlineLevel="0" collapsed="false">
      <c r="A12" s="5" t="s">
        <v>97</v>
      </c>
      <c r="B12" s="29" t="n">
        <f aca="false">'3. Consolidated'!B6</f>
        <v>53778200</v>
      </c>
      <c r="C12" s="29" t="n">
        <f aca="false">'3. Consolidated'!C6</f>
        <v>7208041.78571429</v>
      </c>
      <c r="D12" s="29" t="n">
        <f aca="false">'3. Consolidated'!D6</f>
        <v>60986241.7857143</v>
      </c>
    </row>
    <row r="13" customFormat="false" ht="15" hidden="false" customHeight="false" outlineLevel="0" collapsed="false">
      <c r="A13" s="9" t="s">
        <v>98</v>
      </c>
      <c r="B13" s="32" t="n">
        <f aca="false">'3. Consolidated'!B7</f>
        <v>29212260.5592857</v>
      </c>
      <c r="C13" s="32" t="n">
        <f aca="false">'3. Consolidated'!C7</f>
        <v>6187669.89047619</v>
      </c>
      <c r="D13" s="32" t="n">
        <f aca="false">'3. Consolidated'!D7</f>
        <v>35399930.4497619</v>
      </c>
    </row>
    <row r="14" customFormat="false" ht="15" hidden="false" customHeight="false" outlineLevel="0" collapsed="false">
      <c r="A14" s="20" t="s">
        <v>99</v>
      </c>
      <c r="B14" s="40" t="n">
        <f aca="false">'3. Consolidated'!B8</f>
        <v>24565939.4407143</v>
      </c>
      <c r="C14" s="40" t="n">
        <f aca="false">'3. Consolidated'!C8</f>
        <v>1020371.89523809</v>
      </c>
      <c r="D14" s="40" t="n">
        <f aca="false">'3. Consolidated'!D8</f>
        <v>25586311.3359524</v>
      </c>
    </row>
    <row r="15" customFormat="false" ht="15" hidden="false" customHeight="false" outlineLevel="0" collapsed="false">
      <c r="A15" s="9" t="s">
        <v>100</v>
      </c>
      <c r="B15" s="32" t="n">
        <f aca="false">'3. Consolidated'!B9</f>
        <v>9490796.92425</v>
      </c>
      <c r="C15" s="32" t="n">
        <f aca="false">'3. Consolidated'!C9</f>
        <v>476783.65697619</v>
      </c>
      <c r="D15" s="32" t="n">
        <f aca="false">'3. Consolidated'!D9</f>
        <v>9967580.58122619</v>
      </c>
    </row>
    <row r="16" customFormat="false" ht="15" hidden="false" customHeight="false" outlineLevel="0" collapsed="false">
      <c r="A16" s="22" t="s">
        <v>101</v>
      </c>
      <c r="B16" s="41" t="n">
        <f aca="false">'3. Consolidated'!B10</f>
        <v>15075142.5164643</v>
      </c>
      <c r="C16" s="41" t="n">
        <f aca="false">'3. Consolidated'!C10</f>
        <v>543588.238261904</v>
      </c>
      <c r="D16" s="41" t="n">
        <f aca="false">'3. Consolidated'!D10</f>
        <v>15618730.7547262</v>
      </c>
    </row>
    <row r="17" customFormat="false" ht="15" hidden="false" customHeight="false" outlineLevel="0" collapsed="false">
      <c r="A17" s="11" t="s">
        <v>73</v>
      </c>
      <c r="B17" s="42" t="n">
        <f aca="false">'3. Consolidated'!B11</f>
        <v>0.280320697168449</v>
      </c>
      <c r="C17" s="42" t="n">
        <f aca="false">'3. Consolidated'!C11</f>
        <v>0.07541413527031</v>
      </c>
      <c r="D17" s="42" t="n">
        <f aca="false">'3. Consolidated'!D11</f>
        <v>0.256102528986871</v>
      </c>
    </row>
    <row r="18" customFormat="false" ht="15" hidden="false" customHeight="false" outlineLevel="0" collapsed="false">
      <c r="A18" s="9" t="s">
        <v>75</v>
      </c>
      <c r="B18" s="43" t="n">
        <f aca="false">'3. Consolidated'!B12</f>
        <v>0.516055321561629</v>
      </c>
      <c r="C18" s="43" t="n">
        <f aca="false">'3. Consolidated'!C12</f>
        <v>0.0878502324596489</v>
      </c>
      <c r="D18" s="43" t="n">
        <f aca="false">'3. Consolidated'!D12</f>
        <v>0.441207950306333</v>
      </c>
    </row>
    <row r="20" customFormat="false" ht="15" hidden="false" customHeight="false" outlineLevel="0" collapsed="false">
      <c r="A20" s="3" t="s">
        <v>102</v>
      </c>
      <c r="B20" s="3"/>
      <c r="C20" s="3"/>
      <c r="D20" s="3"/>
    </row>
    <row r="21" customFormat="false" ht="15" hidden="false" customHeight="true" outlineLevel="0" collapsed="false">
      <c r="A21" s="39" t="s">
        <v>103</v>
      </c>
      <c r="B21" s="39"/>
      <c r="C21" s="39"/>
      <c r="D21" s="39"/>
    </row>
    <row r="22" customFormat="false" ht="15" hidden="false" customHeight="false" outlineLevel="0" collapsed="false">
      <c r="A22" s="39"/>
      <c r="B22" s="39"/>
      <c r="C22" s="39"/>
      <c r="D22" s="39"/>
    </row>
    <row r="23" customFormat="false" ht="15" hidden="false" customHeight="false" outlineLevel="0" collapsed="false">
      <c r="A23" s="39"/>
      <c r="B23" s="39"/>
      <c r="C23" s="39"/>
      <c r="D23" s="39"/>
    </row>
    <row r="24" customFormat="false" ht="15" hidden="false" customHeight="false" outlineLevel="0" collapsed="false">
      <c r="A24" s="39"/>
      <c r="B24" s="39"/>
      <c r="C24" s="39"/>
      <c r="D24" s="39"/>
    </row>
    <row r="26" customFormat="false" ht="15" hidden="false" customHeight="false" outlineLevel="0" collapsed="false">
      <c r="A26" s="3" t="s">
        <v>104</v>
      </c>
      <c r="B26" s="3"/>
      <c r="C26" s="3"/>
      <c r="D26" s="3"/>
    </row>
    <row r="27" customFormat="false" ht="15" hidden="false" customHeight="true" outlineLevel="0" collapsed="false">
      <c r="A27" s="39" t="s">
        <v>105</v>
      </c>
      <c r="B27" s="39"/>
      <c r="C27" s="39"/>
      <c r="D27" s="39"/>
    </row>
    <row r="28" customFormat="false" ht="15" hidden="false" customHeight="false" outlineLevel="0" collapsed="false">
      <c r="A28" s="39"/>
      <c r="B28" s="39"/>
      <c r="C28" s="39"/>
      <c r="D28" s="39"/>
    </row>
    <row r="29" customFormat="false" ht="15" hidden="false" customHeight="false" outlineLevel="0" collapsed="false">
      <c r="A29" s="39"/>
      <c r="B29" s="39"/>
      <c r="C29" s="39"/>
      <c r="D29" s="39"/>
    </row>
    <row r="30" customFormat="false" ht="15" hidden="false" customHeight="false" outlineLevel="0" collapsed="false">
      <c r="A30" s="39"/>
      <c r="B30" s="39"/>
      <c r="C30" s="39"/>
      <c r="D30" s="39"/>
    </row>
    <row r="31" customFormat="false" ht="15" hidden="false" customHeight="false" outlineLevel="0" collapsed="false">
      <c r="A31" s="39"/>
      <c r="B31" s="39"/>
      <c r="C31" s="39"/>
      <c r="D31" s="39"/>
    </row>
    <row r="33" customFormat="false" ht="15" hidden="false" customHeight="false" outlineLevel="0" collapsed="false">
      <c r="A33" s="44" t="s">
        <v>106</v>
      </c>
      <c r="B33" s="44"/>
      <c r="C33" s="44"/>
      <c r="D33" s="44"/>
    </row>
  </sheetData>
  <mergeCells count="11">
    <mergeCell ref="A1:D1"/>
    <mergeCell ref="A2:D2"/>
    <mergeCell ref="A4:D4"/>
    <mergeCell ref="A5:D6"/>
    <mergeCell ref="A7:D8"/>
    <mergeCell ref="A10:D10"/>
    <mergeCell ref="A20:D20"/>
    <mergeCell ref="A21:D24"/>
    <mergeCell ref="A26:D26"/>
    <mergeCell ref="A27:D31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2026-06-28T23:16:39Z</dcterms:created>
  <dc:creator>openpyxl</dc:creator>
  <dc:description/>
  <dc:language>en-US</dc:language>
  <cp:lastModifiedBy/>
  <dcterms:modified xsi:type="dcterms:W3CDTF">2026-06-28T23:16:39Z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